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0B66412-2DA7-4267-9AF4-E0EA929C1F45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Anagrafica PI" sheetId="3" r:id="rId1"/>
    <sheet name="Anagrafica GS" sheetId="2" r:id="rId2"/>
    <sheet name="Anagrafica BI oven" sheetId="4" r:id="rId3"/>
  </sheets>
  <definedNames>
    <definedName name="_xlnm._FilterDatabase" localSheetId="2" hidden="1">'Anagrafica BI oven'!$A$3:$AE$120</definedName>
    <definedName name="_xlnm._FilterDatabase" localSheetId="1" hidden="1">'Anagrafica GS'!$AM$4:$AT$161</definedName>
    <definedName name="_xlnm._FilterDatabase" localSheetId="0" hidden="1">'Anagrafica PI'!$A$3:$AQ$96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62" i="2" l="1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H161" i="2" l="1"/>
  <c r="AI161" i="2" s="1"/>
  <c r="AG161" i="2"/>
  <c r="AH160" i="2"/>
  <c r="AI160" i="2" s="1"/>
  <c r="AG160" i="2"/>
  <c r="AH159" i="2"/>
  <c r="AI159" i="2" s="1"/>
  <c r="AG159" i="2"/>
  <c r="AH158" i="2"/>
  <c r="AI158" i="2" s="1"/>
  <c r="AG158" i="2"/>
  <c r="AH157" i="2"/>
  <c r="AI157" i="2" s="1"/>
  <c r="AG157" i="2"/>
  <c r="AH156" i="2"/>
  <c r="AI156" i="2" s="1"/>
  <c r="AG156" i="2"/>
  <c r="AH155" i="2"/>
  <c r="AI155" i="2" s="1"/>
  <c r="AG155" i="2"/>
  <c r="AH154" i="2"/>
  <c r="AI154" i="2" s="1"/>
  <c r="AG154" i="2"/>
  <c r="AH153" i="2"/>
  <c r="AI153" i="2" s="1"/>
  <c r="AG153" i="2"/>
  <c r="AH152" i="2"/>
  <c r="AI152" i="2" s="1"/>
  <c r="AG152" i="2"/>
  <c r="AH151" i="2"/>
  <c r="AI151" i="2" s="1"/>
  <c r="AG151" i="2"/>
  <c r="AH150" i="2"/>
  <c r="AI150" i="2" s="1"/>
  <c r="AG150" i="2"/>
  <c r="AH149" i="2"/>
  <c r="AI149" i="2" s="1"/>
  <c r="AG149" i="2"/>
  <c r="AH144" i="2"/>
  <c r="AI144" i="2" s="1"/>
  <c r="AG144" i="2"/>
  <c r="AG141" i="2"/>
  <c r="AH141" i="2"/>
  <c r="AI141" i="2" s="1"/>
  <c r="AG142" i="2"/>
  <c r="AH142" i="2"/>
  <c r="AI142" i="2" s="1"/>
  <c r="AG143" i="2"/>
  <c r="AH143" i="2"/>
  <c r="AI143" i="2" s="1"/>
  <c r="AG145" i="2"/>
  <c r="AH145" i="2"/>
  <c r="AI145" i="2" s="1"/>
  <c r="AG146" i="2"/>
  <c r="AH146" i="2"/>
  <c r="AI146" i="2" s="1"/>
  <c r="AG147" i="2"/>
  <c r="AH147" i="2"/>
  <c r="AI147" i="2" s="1"/>
  <c r="AG148" i="2"/>
  <c r="AH148" i="2"/>
  <c r="AI148" i="2" s="1"/>
  <c r="AH140" i="2"/>
  <c r="AI140" i="2" s="1"/>
  <c r="AG140" i="2"/>
  <c r="AQ2" i="3"/>
  <c r="AE2" i="4"/>
  <c r="AP2" i="3"/>
  <c r="AC2" i="4"/>
  <c r="AO2" i="3"/>
  <c r="AT3" i="2"/>
  <c r="AD2" i="4"/>
  <c r="R63" i="4"/>
  <c r="S63" i="4" s="1"/>
  <c r="Q84" i="4"/>
  <c r="R29" i="4"/>
  <c r="S29" i="4" s="1"/>
  <c r="Q60" i="4"/>
  <c r="Q58" i="4"/>
  <c r="Q55" i="4"/>
  <c r="R50" i="4"/>
  <c r="S50" i="4" s="1"/>
  <c r="Q47" i="4"/>
  <c r="R38" i="4"/>
  <c r="S38" i="4" s="1"/>
  <c r="Q32" i="4"/>
  <c r="R27" i="4"/>
  <c r="S27" i="4" s="1"/>
  <c r="R21" i="4"/>
  <c r="S21" i="4" s="1"/>
  <c r="R13" i="4"/>
  <c r="S13" i="4" s="1"/>
  <c r="R10" i="4"/>
  <c r="S10" i="4" s="1"/>
  <c r="R9" i="4"/>
  <c r="S9" i="4" s="1"/>
  <c r="Q6" i="4"/>
  <c r="R5" i="4"/>
  <c r="S5" i="4" s="1"/>
  <c r="AB2" i="4"/>
  <c r="R96" i="4"/>
  <c r="S96" i="4" s="1"/>
  <c r="Q96" i="4"/>
  <c r="R95" i="4"/>
  <c r="S95" i="4" s="1"/>
  <c r="Q95" i="4"/>
  <c r="R94" i="4"/>
  <c r="S94" i="4" s="1"/>
  <c r="Q94" i="4"/>
  <c r="R93" i="4"/>
  <c r="S93" i="4" s="1"/>
  <c r="Q93" i="4"/>
  <c r="R92" i="4"/>
  <c r="S92" i="4" s="1"/>
  <c r="Q92" i="4"/>
  <c r="R91" i="4"/>
  <c r="S91" i="4" s="1"/>
  <c r="Q91" i="4"/>
  <c r="R90" i="4"/>
  <c r="S90" i="4" s="1"/>
  <c r="Q90" i="4"/>
  <c r="R89" i="4"/>
  <c r="S89" i="4" s="1"/>
  <c r="Q89" i="4"/>
  <c r="R98" i="4"/>
  <c r="S98" i="4" s="1"/>
  <c r="R87" i="4"/>
  <c r="S87" i="4" s="1"/>
  <c r="Q83" i="4"/>
  <c r="R81" i="4"/>
  <c r="S81" i="4" s="1"/>
  <c r="Q79" i="4"/>
  <c r="R78" i="4"/>
  <c r="S78" i="4" s="1"/>
  <c r="R75" i="4"/>
  <c r="S75" i="4" s="1"/>
  <c r="R73" i="4"/>
  <c r="S73" i="4" s="1"/>
  <c r="Q70" i="4"/>
  <c r="R88" i="4"/>
  <c r="S88" i="4" s="1"/>
  <c r="Q88" i="4"/>
  <c r="Q87" i="4"/>
  <c r="R43" i="4"/>
  <c r="S43" i="4" s="1"/>
  <c r="Q43" i="4"/>
  <c r="R42" i="4"/>
  <c r="S42" i="4" s="1"/>
  <c r="Q42" i="4"/>
  <c r="R24" i="4"/>
  <c r="S24" i="4" s="1"/>
  <c r="Q24" i="4"/>
  <c r="AG135" i="2"/>
  <c r="AH135" i="2"/>
  <c r="AI135" i="2" s="1"/>
  <c r="AG132" i="2"/>
  <c r="AH132" i="2"/>
  <c r="AI132" i="2" s="1"/>
  <c r="AG133" i="2"/>
  <c r="AH133" i="2"/>
  <c r="AI133" i="2" s="1"/>
  <c r="AG130" i="2"/>
  <c r="AH130" i="2"/>
  <c r="AI130" i="2" s="1"/>
  <c r="AG128" i="2"/>
  <c r="AH128" i="2"/>
  <c r="AI128" i="2" s="1"/>
  <c r="AG122" i="2"/>
  <c r="AH122" i="2"/>
  <c r="AI122" i="2" s="1"/>
  <c r="AG118" i="2"/>
  <c r="AH118" i="2"/>
  <c r="AI118" i="2" s="1"/>
  <c r="AG101" i="2"/>
  <c r="AH101" i="2"/>
  <c r="AI101" i="2" s="1"/>
  <c r="AG99" i="2"/>
  <c r="AH99" i="2"/>
  <c r="AI99" i="2" s="1"/>
  <c r="AG92" i="2"/>
  <c r="AH92" i="2"/>
  <c r="AI92" i="2" s="1"/>
  <c r="AG93" i="2"/>
  <c r="AH93" i="2"/>
  <c r="AI93" i="2" s="1"/>
  <c r="AG94" i="2"/>
  <c r="AH94" i="2"/>
  <c r="AI94" i="2" s="1"/>
  <c r="AG95" i="2"/>
  <c r="AH95" i="2"/>
  <c r="AI95" i="2" s="1"/>
  <c r="AG96" i="2"/>
  <c r="AH96" i="2"/>
  <c r="AI96" i="2" s="1"/>
  <c r="AG97" i="2"/>
  <c r="AH97" i="2"/>
  <c r="AI97" i="2" s="1"/>
  <c r="AG85" i="2"/>
  <c r="AH85" i="2"/>
  <c r="AI85" i="2" s="1"/>
  <c r="AG82" i="2"/>
  <c r="AH82" i="2"/>
  <c r="AI82" i="2" s="1"/>
  <c r="AG79" i="2"/>
  <c r="AH79" i="2"/>
  <c r="AI79" i="2" s="1"/>
  <c r="AG80" i="2"/>
  <c r="AH80" i="2"/>
  <c r="AI80" i="2" s="1"/>
  <c r="AG75" i="2"/>
  <c r="AH75" i="2"/>
  <c r="AI75" i="2" s="1"/>
  <c r="AG76" i="2"/>
  <c r="AH76" i="2"/>
  <c r="AI76" i="2" s="1"/>
  <c r="AG77" i="2"/>
  <c r="AH77" i="2"/>
  <c r="AI77" i="2" s="1"/>
  <c r="AG66" i="2"/>
  <c r="AH66" i="2"/>
  <c r="AI66" i="2" s="1"/>
  <c r="AG67" i="2"/>
  <c r="AH67" i="2"/>
  <c r="AI67" i="2" s="1"/>
  <c r="AG68" i="2"/>
  <c r="AH68" i="2"/>
  <c r="AI68" i="2" s="1"/>
  <c r="AG69" i="2"/>
  <c r="AH69" i="2"/>
  <c r="AI69" i="2" s="1"/>
  <c r="AG70" i="2"/>
  <c r="AH70" i="2"/>
  <c r="AI70" i="2" s="1"/>
  <c r="AG71" i="2"/>
  <c r="AH71" i="2"/>
  <c r="AI71" i="2" s="1"/>
  <c r="AG72" i="2"/>
  <c r="AH72" i="2"/>
  <c r="AI72" i="2" s="1"/>
  <c r="AG64" i="2"/>
  <c r="AH64" i="2"/>
  <c r="AI64" i="2" s="1"/>
  <c r="AG62" i="2"/>
  <c r="AH62" i="2"/>
  <c r="AI62" i="2" s="1"/>
  <c r="AG56" i="2"/>
  <c r="AH56" i="2"/>
  <c r="AI56" i="2" s="1"/>
  <c r="AG57" i="2"/>
  <c r="AH57" i="2"/>
  <c r="AI57" i="2" s="1"/>
  <c r="AG58" i="2"/>
  <c r="AH58" i="2"/>
  <c r="AI58" i="2" s="1"/>
  <c r="AG59" i="2"/>
  <c r="AH59" i="2"/>
  <c r="AI59" i="2" s="1"/>
  <c r="AG60" i="2"/>
  <c r="AH60" i="2"/>
  <c r="AI60" i="2" s="1"/>
  <c r="AG53" i="2"/>
  <c r="AH53" i="2"/>
  <c r="AI53" i="2" s="1"/>
  <c r="AG51" i="2"/>
  <c r="AH51" i="2"/>
  <c r="AI51" i="2" s="1"/>
  <c r="AG48" i="2"/>
  <c r="AH48" i="2"/>
  <c r="AI48" i="2" s="1"/>
  <c r="AG28" i="2"/>
  <c r="AH28" i="2"/>
  <c r="AI28" i="2" s="1"/>
  <c r="AG25" i="2"/>
  <c r="AH25" i="2"/>
  <c r="AI25" i="2" s="1"/>
  <c r="AG26" i="2"/>
  <c r="AH26" i="2"/>
  <c r="AI26" i="2" s="1"/>
  <c r="AG20" i="2"/>
  <c r="AH20" i="2"/>
  <c r="AI20" i="2" s="1"/>
  <c r="AG21" i="2"/>
  <c r="AH21" i="2"/>
  <c r="AI21" i="2" s="1"/>
  <c r="AG22" i="2"/>
  <c r="AH22" i="2"/>
  <c r="AI22" i="2" s="1"/>
  <c r="R86" i="4"/>
  <c r="S86" i="4" s="1"/>
  <c r="Q86" i="4"/>
  <c r="R85" i="4"/>
  <c r="S85" i="4" s="1"/>
  <c r="Q85" i="4"/>
  <c r="R83" i="4"/>
  <c r="S83" i="4" s="1"/>
  <c r="R82" i="4"/>
  <c r="S82" i="4" s="1"/>
  <c r="Q82" i="4"/>
  <c r="R80" i="4"/>
  <c r="S80" i="4" s="1"/>
  <c r="Q80" i="4"/>
  <c r="R79" i="4"/>
  <c r="S79" i="4" s="1"/>
  <c r="Q78" i="4"/>
  <c r="R77" i="4"/>
  <c r="S77" i="4" s="1"/>
  <c r="Q77" i="4"/>
  <c r="R76" i="4"/>
  <c r="S76" i="4" s="1"/>
  <c r="Q76" i="4"/>
  <c r="R74" i="4"/>
  <c r="S74" i="4" s="1"/>
  <c r="Q74" i="4"/>
  <c r="R72" i="4"/>
  <c r="S72" i="4" s="1"/>
  <c r="Q72" i="4"/>
  <c r="R71" i="4"/>
  <c r="S71" i="4" s="1"/>
  <c r="Q71" i="4"/>
  <c r="R70" i="4"/>
  <c r="S70" i="4" s="1"/>
  <c r="R69" i="4"/>
  <c r="S69" i="4" s="1"/>
  <c r="Q69" i="4"/>
  <c r="R99" i="4"/>
  <c r="S99" i="4" s="1"/>
  <c r="Q99" i="4"/>
  <c r="R68" i="4"/>
  <c r="S68" i="4" s="1"/>
  <c r="Q68" i="4"/>
  <c r="R67" i="4"/>
  <c r="S67" i="4" s="1"/>
  <c r="Q67" i="4"/>
  <c r="R66" i="4"/>
  <c r="S66" i="4" s="1"/>
  <c r="Q66" i="4"/>
  <c r="R65" i="4"/>
  <c r="S65" i="4" s="1"/>
  <c r="Q65" i="4"/>
  <c r="R64" i="4"/>
  <c r="S64" i="4" s="1"/>
  <c r="Q64" i="4"/>
  <c r="AG47" i="2"/>
  <c r="AH47" i="2"/>
  <c r="AI47" i="2" s="1"/>
  <c r="AH109" i="2"/>
  <c r="AI109" i="2" s="1"/>
  <c r="AG109" i="2"/>
  <c r="AH108" i="2"/>
  <c r="AI108" i="2" s="1"/>
  <c r="AG108" i="2"/>
  <c r="AH107" i="2"/>
  <c r="AI107" i="2" s="1"/>
  <c r="AG107" i="2"/>
  <c r="AG83" i="2"/>
  <c r="AH83" i="2"/>
  <c r="AI83" i="2" s="1"/>
  <c r="AG40" i="2"/>
  <c r="AH40" i="2"/>
  <c r="AI40" i="2" s="1"/>
  <c r="AG121" i="2"/>
  <c r="AH121" i="2"/>
  <c r="AI121" i="2" s="1"/>
  <c r="AG46" i="2"/>
  <c r="AH46" i="2"/>
  <c r="AI46" i="2" s="1"/>
  <c r="AN2" i="3"/>
  <c r="AA2" i="4"/>
  <c r="AM2" i="3"/>
  <c r="AL2" i="3"/>
  <c r="AG24" i="2"/>
  <c r="AH24" i="2"/>
  <c r="AI24" i="2" s="1"/>
  <c r="AH42" i="2"/>
  <c r="AI42" i="2" s="1"/>
  <c r="AG42" i="2"/>
  <c r="AH32" i="2"/>
  <c r="AI32" i="2" s="1"/>
  <c r="AG32" i="2"/>
  <c r="AP3" i="2"/>
  <c r="AK2" i="3"/>
  <c r="AG45" i="2"/>
  <c r="AH45" i="2"/>
  <c r="AI45" i="2" s="1"/>
  <c r="AH106" i="2"/>
  <c r="AI106" i="2" s="1"/>
  <c r="AG106" i="2"/>
  <c r="AH105" i="2"/>
  <c r="AI105" i="2" s="1"/>
  <c r="AG105" i="2"/>
  <c r="AH104" i="2"/>
  <c r="AI104" i="2" s="1"/>
  <c r="AG104" i="2"/>
  <c r="AH103" i="2"/>
  <c r="AI103" i="2" s="1"/>
  <c r="AG103" i="2"/>
  <c r="AH102" i="2"/>
  <c r="AI102" i="2" s="1"/>
  <c r="AG102" i="2"/>
  <c r="AG78" i="2"/>
  <c r="AH78" i="2"/>
  <c r="AI78" i="2" s="1"/>
  <c r="AG52" i="2"/>
  <c r="AH52" i="2"/>
  <c r="AI52" i="2" s="1"/>
  <c r="AG65" i="2"/>
  <c r="AH65" i="2"/>
  <c r="AI65" i="2" s="1"/>
  <c r="AG123" i="2"/>
  <c r="AH123" i="2"/>
  <c r="AI123" i="2" s="1"/>
  <c r="AG49" i="2"/>
  <c r="AH49" i="2"/>
  <c r="AI49" i="2" s="1"/>
  <c r="AH19" i="2"/>
  <c r="AI19" i="2" s="1"/>
  <c r="AG19" i="2"/>
  <c r="AH18" i="2"/>
  <c r="AI18" i="2" s="1"/>
  <c r="AG18" i="2"/>
  <c r="AH17" i="2"/>
  <c r="AI17" i="2" s="1"/>
  <c r="AG17" i="2"/>
  <c r="AH16" i="2"/>
  <c r="AI16" i="2" s="1"/>
  <c r="AG16" i="2"/>
  <c r="AH15" i="2"/>
  <c r="AI15" i="2" s="1"/>
  <c r="AG15" i="2"/>
  <c r="AH14" i="2"/>
  <c r="AI14" i="2" s="1"/>
  <c r="AG14" i="2"/>
  <c r="AG39" i="2"/>
  <c r="AH39" i="2"/>
  <c r="AI39" i="2" s="1"/>
  <c r="AG38" i="2"/>
  <c r="AH38" i="2"/>
  <c r="AI38" i="2" s="1"/>
  <c r="AH44" i="2"/>
  <c r="AI44" i="2" s="1"/>
  <c r="AG44" i="2"/>
  <c r="AG37" i="2"/>
  <c r="AH37" i="2"/>
  <c r="AI37" i="2" s="1"/>
  <c r="AG27" i="2"/>
  <c r="AH27" i="2"/>
  <c r="AI27" i="2" s="1"/>
  <c r="AG36" i="2"/>
  <c r="AH36" i="2"/>
  <c r="AI36" i="2" s="1"/>
  <c r="AG35" i="2"/>
  <c r="AH35" i="2"/>
  <c r="AI35" i="2" s="1"/>
  <c r="AH13" i="2"/>
  <c r="AI13" i="2" s="1"/>
  <c r="AG13" i="2"/>
  <c r="AH12" i="2"/>
  <c r="AI12" i="2" s="1"/>
  <c r="AG12" i="2"/>
  <c r="AH11" i="2"/>
  <c r="AI11" i="2" s="1"/>
  <c r="AG11" i="2"/>
  <c r="AG34" i="2"/>
  <c r="AH34" i="2"/>
  <c r="AI34" i="2" s="1"/>
  <c r="AH43" i="2"/>
  <c r="AI43" i="2" s="1"/>
  <c r="AG43" i="2"/>
  <c r="AG91" i="2"/>
  <c r="AH91" i="2"/>
  <c r="AI91" i="2" s="1"/>
  <c r="AG89" i="2"/>
  <c r="AH89" i="2"/>
  <c r="AI89" i="2" s="1"/>
  <c r="AG87" i="2"/>
  <c r="AH87" i="2"/>
  <c r="AI87" i="2" s="1"/>
  <c r="AG33" i="2"/>
  <c r="AH9" i="2"/>
  <c r="AI9" i="2" s="1"/>
  <c r="AH8" i="2"/>
  <c r="AI8" i="2" s="1"/>
  <c r="AH10" i="2"/>
  <c r="AI10" i="2" s="1"/>
  <c r="AG10" i="2"/>
  <c r="AG8" i="2"/>
  <c r="AG111" i="2"/>
  <c r="AH111" i="2"/>
  <c r="AI111" i="2" s="1"/>
  <c r="AH7" i="2"/>
  <c r="AI7" i="2" s="1"/>
  <c r="AG7" i="2"/>
  <c r="AH120" i="2"/>
  <c r="AI120" i="2" s="1"/>
  <c r="AG120" i="2"/>
  <c r="AH117" i="2"/>
  <c r="AI117" i="2" s="1"/>
  <c r="AG117" i="2"/>
  <c r="AH113" i="2"/>
  <c r="AI113" i="2" s="1"/>
  <c r="AG113" i="2"/>
  <c r="AG115" i="2"/>
  <c r="AH115" i="2"/>
  <c r="AI115" i="2" s="1"/>
  <c r="AH55" i="2"/>
  <c r="AI55" i="2" s="1"/>
  <c r="AG55" i="2"/>
  <c r="AJ2" i="3"/>
  <c r="AH33" i="2"/>
  <c r="AI33" i="2" s="1"/>
  <c r="AG9" i="2"/>
  <c r="Z2" i="4"/>
  <c r="R36" i="4"/>
  <c r="S36" i="4" s="1"/>
  <c r="Q36" i="4"/>
  <c r="Q28" i="4"/>
  <c r="R28" i="4"/>
  <c r="S28" i="4" s="1"/>
  <c r="Q25" i="4"/>
  <c r="R25" i="4"/>
  <c r="S25" i="4" s="1"/>
  <c r="Q19" i="4"/>
  <c r="R19" i="4"/>
  <c r="S19" i="4" s="1"/>
  <c r="R41" i="4"/>
  <c r="S41" i="4" s="1"/>
  <c r="Q41" i="4"/>
  <c r="R35" i="4"/>
  <c r="S35" i="4" s="1"/>
  <c r="Q35" i="4"/>
  <c r="Q40" i="4"/>
  <c r="R40" i="4"/>
  <c r="S40" i="4" s="1"/>
  <c r="Q34" i="4"/>
  <c r="R34" i="4"/>
  <c r="S34" i="4" s="1"/>
  <c r="Q23" i="4"/>
  <c r="R23" i="4"/>
  <c r="S23" i="4" s="1"/>
  <c r="Q54" i="4"/>
  <c r="R54" i="4"/>
  <c r="S54" i="4" s="1"/>
  <c r="R52" i="4"/>
  <c r="S52" i="4" s="1"/>
  <c r="Q52" i="4"/>
  <c r="Q39" i="4"/>
  <c r="R39" i="4"/>
  <c r="S39" i="4" s="1"/>
  <c r="Q33" i="4"/>
  <c r="R33" i="4"/>
  <c r="S33" i="4" s="1"/>
  <c r="Q22" i="4"/>
  <c r="R22" i="4"/>
  <c r="S22" i="4" s="1"/>
  <c r="Q18" i="4"/>
  <c r="R18" i="4"/>
  <c r="S18" i="4" s="1"/>
  <c r="AN3" i="2"/>
  <c r="AI2" i="3"/>
  <c r="Y4" i="4"/>
  <c r="Y6" i="4"/>
  <c r="Y7" i="4"/>
  <c r="Y8" i="4"/>
  <c r="Y9" i="4"/>
  <c r="Y10" i="4"/>
  <c r="Y11" i="4"/>
  <c r="Y12" i="4"/>
  <c r="Y13" i="4"/>
  <c r="Y14" i="4"/>
  <c r="Y15" i="4"/>
  <c r="Y16" i="4"/>
  <c r="Y17" i="4"/>
  <c r="Y26" i="4"/>
  <c r="Y29" i="4"/>
  <c r="Y30" i="4"/>
  <c r="Y31" i="4"/>
  <c r="Y37" i="4"/>
  <c r="Y44" i="4"/>
  <c r="Y45" i="4"/>
  <c r="Y46" i="4"/>
  <c r="Y48" i="4"/>
  <c r="Y49" i="4"/>
  <c r="Y51" i="4"/>
  <c r="Y53" i="4"/>
  <c r="Y56" i="4"/>
  <c r="Y57" i="4"/>
  <c r="Y59" i="4"/>
  <c r="Y61" i="4"/>
  <c r="Y62" i="4"/>
  <c r="AH2" i="3"/>
  <c r="AM3" i="2"/>
  <c r="X2" i="4"/>
  <c r="AG134" i="2"/>
  <c r="AH134" i="2"/>
  <c r="AI134" i="2" s="1"/>
  <c r="AH131" i="2"/>
  <c r="AI131" i="2" s="1"/>
  <c r="AG131" i="2"/>
  <c r="AH129" i="2"/>
  <c r="AI129" i="2" s="1"/>
  <c r="AG129" i="2"/>
  <c r="AH127" i="2"/>
  <c r="AI127" i="2" s="1"/>
  <c r="AG127" i="2"/>
  <c r="AH6" i="2"/>
  <c r="AI6" i="2" s="1"/>
  <c r="AG6" i="2"/>
  <c r="AG2" i="3"/>
  <c r="Q4" i="4"/>
  <c r="R4" i="4"/>
  <c r="S4" i="4" s="1"/>
  <c r="Q112" i="4"/>
  <c r="R112" i="4"/>
  <c r="S112" i="4" s="1"/>
  <c r="Q113" i="4"/>
  <c r="R113" i="4"/>
  <c r="S113" i="4" s="1"/>
  <c r="Q11" i="4"/>
  <c r="R11" i="4"/>
  <c r="S11" i="4" s="1"/>
  <c r="Q12" i="4"/>
  <c r="R12" i="4"/>
  <c r="S12" i="4" s="1"/>
  <c r="Q48" i="4"/>
  <c r="R48" i="4"/>
  <c r="S48" i="4" s="1"/>
  <c r="Q49" i="4"/>
  <c r="R49" i="4"/>
  <c r="S49" i="4" s="1"/>
  <c r="Q7" i="4"/>
  <c r="R7" i="4"/>
  <c r="S7" i="4" s="1"/>
  <c r="Q8" i="4"/>
  <c r="R8" i="4"/>
  <c r="S8" i="4" s="1"/>
  <c r="Q62" i="4"/>
  <c r="R62" i="4"/>
  <c r="S62" i="4" s="1"/>
  <c r="Q61" i="4"/>
  <c r="R61" i="4"/>
  <c r="S61" i="4" s="1"/>
  <c r="Q114" i="4"/>
  <c r="R114" i="4"/>
  <c r="S114" i="4" s="1"/>
  <c r="Q115" i="4"/>
  <c r="R115" i="4"/>
  <c r="S115" i="4" s="1"/>
  <c r="Q116" i="4"/>
  <c r="R116" i="4"/>
  <c r="S116" i="4" s="1"/>
  <c r="Q20" i="4"/>
  <c r="R20" i="4"/>
  <c r="S20" i="4" s="1"/>
  <c r="Q117" i="4"/>
  <c r="R117" i="4"/>
  <c r="S117" i="4" s="1"/>
  <c r="Q14" i="4"/>
  <c r="R14" i="4"/>
  <c r="S14" i="4" s="1"/>
  <c r="Q26" i="4"/>
  <c r="R26" i="4"/>
  <c r="S26" i="4" s="1"/>
  <c r="Q30" i="4"/>
  <c r="R30" i="4"/>
  <c r="S30" i="4" s="1"/>
  <c r="Q31" i="4"/>
  <c r="R31" i="4"/>
  <c r="S31" i="4" s="1"/>
  <c r="Q15" i="4"/>
  <c r="R15" i="4"/>
  <c r="S15" i="4" s="1"/>
  <c r="Q16" i="4"/>
  <c r="R16" i="4"/>
  <c r="S16" i="4" s="1"/>
  <c r="Q118" i="4"/>
  <c r="R118" i="4"/>
  <c r="S118" i="4" s="1"/>
  <c r="Q119" i="4"/>
  <c r="R119" i="4"/>
  <c r="S119" i="4" s="1"/>
  <c r="Q120" i="4"/>
  <c r="R120" i="4"/>
  <c r="S120" i="4" s="1"/>
  <c r="Q37" i="4"/>
  <c r="R37" i="4"/>
  <c r="S37" i="4" s="1"/>
  <c r="Q17" i="4"/>
  <c r="R17" i="4"/>
  <c r="S17" i="4" s="1"/>
  <c r="Q51" i="4"/>
  <c r="R51" i="4"/>
  <c r="S51" i="4" s="1"/>
  <c r="Q53" i="4"/>
  <c r="R53" i="4"/>
  <c r="S53" i="4" s="1"/>
  <c r="Q56" i="4"/>
  <c r="R56" i="4"/>
  <c r="S56" i="4" s="1"/>
  <c r="Q57" i="4"/>
  <c r="R57" i="4"/>
  <c r="S57" i="4" s="1"/>
  <c r="Q101" i="4"/>
  <c r="R101" i="4"/>
  <c r="S101" i="4" s="1"/>
  <c r="Q102" i="4"/>
  <c r="R102" i="4"/>
  <c r="S102" i="4" s="1"/>
  <c r="Q103" i="4"/>
  <c r="R103" i="4"/>
  <c r="S103" i="4" s="1"/>
  <c r="Q104" i="4"/>
  <c r="R104" i="4"/>
  <c r="S104" i="4" s="1"/>
  <c r="Q97" i="4"/>
  <c r="R97" i="4"/>
  <c r="S97" i="4" s="1"/>
  <c r="Q105" i="4"/>
  <c r="R105" i="4"/>
  <c r="S105" i="4" s="1"/>
  <c r="Q59" i="4"/>
  <c r="R59" i="4"/>
  <c r="S59" i="4" s="1"/>
  <c r="Q44" i="4"/>
  <c r="R44" i="4"/>
  <c r="S44" i="4" s="1"/>
  <c r="Q45" i="4"/>
  <c r="R45" i="4"/>
  <c r="S45" i="4" s="1"/>
  <c r="Q106" i="4"/>
  <c r="R106" i="4"/>
  <c r="S106" i="4" s="1"/>
  <c r="Q107" i="4"/>
  <c r="R107" i="4"/>
  <c r="S107" i="4" s="1"/>
  <c r="Q108" i="4"/>
  <c r="R108" i="4"/>
  <c r="S108" i="4" s="1"/>
  <c r="Q109" i="4"/>
  <c r="R109" i="4"/>
  <c r="S109" i="4" s="1"/>
  <c r="Q110" i="4"/>
  <c r="R110" i="4"/>
  <c r="S110" i="4" s="1"/>
  <c r="Q111" i="4"/>
  <c r="R111" i="4"/>
  <c r="S111" i="4" s="1"/>
  <c r="Q46" i="4"/>
  <c r="R46" i="4"/>
  <c r="S46" i="4" s="1"/>
  <c r="R100" i="4"/>
  <c r="S100" i="4" s="1"/>
  <c r="Q100" i="4"/>
  <c r="AF2" i="3"/>
  <c r="AE2" i="3"/>
  <c r="AH125" i="2"/>
  <c r="AI125" i="2" s="1"/>
  <c r="AG125" i="2"/>
  <c r="AH124" i="2"/>
  <c r="AI124" i="2" s="1"/>
  <c r="AG124" i="2"/>
  <c r="AH139" i="2"/>
  <c r="AI139" i="2" s="1"/>
  <c r="AG139" i="2"/>
  <c r="AH119" i="2"/>
  <c r="AI119" i="2" s="1"/>
  <c r="AG119" i="2"/>
  <c r="AH116" i="2"/>
  <c r="AI116" i="2" s="1"/>
  <c r="AG116" i="2"/>
  <c r="AH114" i="2"/>
  <c r="AI114" i="2" s="1"/>
  <c r="AG114" i="2"/>
  <c r="AH112" i="2"/>
  <c r="AI112" i="2" s="1"/>
  <c r="AG112" i="2"/>
  <c r="AH110" i="2"/>
  <c r="AI110" i="2" s="1"/>
  <c r="AG110" i="2"/>
  <c r="AH138" i="2"/>
  <c r="AI138" i="2" s="1"/>
  <c r="AG138" i="2"/>
  <c r="AH30" i="2"/>
  <c r="AI30" i="2" s="1"/>
  <c r="AG30" i="2"/>
  <c r="AH29" i="2"/>
  <c r="AI29" i="2" s="1"/>
  <c r="AG29" i="2"/>
  <c r="AH23" i="2"/>
  <c r="AI23" i="2" s="1"/>
  <c r="AG23" i="2"/>
  <c r="AH41" i="2"/>
  <c r="AI41" i="2" s="1"/>
  <c r="AG41" i="2"/>
  <c r="AH100" i="2"/>
  <c r="AI100" i="2" s="1"/>
  <c r="AG100" i="2"/>
  <c r="AH98" i="2"/>
  <c r="AI98" i="2" s="1"/>
  <c r="AG98" i="2"/>
  <c r="AH61" i="2"/>
  <c r="AI61" i="2" s="1"/>
  <c r="AG61" i="2"/>
  <c r="AH90" i="2"/>
  <c r="AI90" i="2" s="1"/>
  <c r="AG90" i="2"/>
  <c r="AH88" i="2"/>
  <c r="AI88" i="2" s="1"/>
  <c r="AG88" i="2"/>
  <c r="AH86" i="2"/>
  <c r="AI86" i="2" s="1"/>
  <c r="AG86" i="2"/>
  <c r="AH84" i="2"/>
  <c r="AI84" i="2" s="1"/>
  <c r="AG84" i="2"/>
  <c r="AH81" i="2"/>
  <c r="AI81" i="2" s="1"/>
  <c r="AG81" i="2"/>
  <c r="AH137" i="2"/>
  <c r="AI137" i="2" s="1"/>
  <c r="AG137" i="2"/>
  <c r="AH54" i="2"/>
  <c r="AI54" i="2" s="1"/>
  <c r="AG54" i="2"/>
  <c r="AH136" i="2"/>
  <c r="AI136" i="2" s="1"/>
  <c r="AG136" i="2"/>
  <c r="AH74" i="2"/>
  <c r="AI74" i="2" s="1"/>
  <c r="AG74" i="2"/>
  <c r="AH73" i="2"/>
  <c r="AI73" i="2" s="1"/>
  <c r="AG73" i="2"/>
  <c r="AH63" i="2"/>
  <c r="AI63" i="2" s="1"/>
  <c r="AG63" i="2"/>
  <c r="AH50" i="2"/>
  <c r="AI50" i="2" s="1"/>
  <c r="AG50" i="2"/>
  <c r="AH126" i="2"/>
  <c r="AI126" i="2" s="1"/>
  <c r="AG126" i="2"/>
  <c r="AH31" i="2"/>
  <c r="AI31" i="2" s="1"/>
  <c r="AG31" i="2"/>
  <c r="AH5" i="2"/>
  <c r="AI5" i="2" s="1"/>
  <c r="AG5" i="2"/>
  <c r="AL3" i="2"/>
  <c r="AK3" i="2"/>
  <c r="AQ3" i="2"/>
  <c r="Q63" i="4" l="1"/>
  <c r="Q29" i="4"/>
  <c r="R84" i="4"/>
  <c r="S84" i="4" s="1"/>
  <c r="R60" i="4"/>
  <c r="S60" i="4" s="1"/>
  <c r="R58" i="4"/>
  <c r="S58" i="4" s="1"/>
  <c r="R55" i="4"/>
  <c r="S55" i="4" s="1"/>
  <c r="Q50" i="4"/>
  <c r="R47" i="4"/>
  <c r="S47" i="4" s="1"/>
  <c r="Q38" i="4"/>
  <c r="R32" i="4"/>
  <c r="S32" i="4" s="1"/>
  <c r="Q27" i="4"/>
  <c r="Q21" i="4"/>
  <c r="Q13" i="4"/>
  <c r="Q10" i="4"/>
  <c r="Q9" i="4"/>
  <c r="R6" i="4"/>
  <c r="S6" i="4" s="1"/>
  <c r="Q5" i="4"/>
  <c r="Q75" i="4"/>
  <c r="Q81" i="4"/>
  <c r="Q98" i="4"/>
  <c r="Q73" i="4"/>
  <c r="Y2" i="4"/>
  <c r="AS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AE3" authorId="0" shapeId="0" xr:uid="{26293A09-4CDA-4B40-90BD-7760739947B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07.05.24</t>
        </r>
      </text>
    </comment>
    <comment ref="AF3" authorId="0" shapeId="0" xr:uid="{342653AF-778C-420F-B20F-A37E444AADF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07.05.24</t>
        </r>
      </text>
    </comment>
    <comment ref="AG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17.11.23</t>
        </r>
      </text>
    </comment>
    <comment ref="AH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ETD 29.12
ETA 18/02/24
check 29.02.24</t>
        </r>
      </text>
    </comment>
    <comment ref="AI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check 05.03.24</t>
        </r>
      </text>
    </comment>
    <comment ref="AJ3" authorId="0" shapeId="0" xr:uid="{7C8E9E58-A1DA-4D35-9F07-9FADA5F89AE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17.04.24</t>
        </r>
      </text>
    </comment>
    <comment ref="AK3" authorId="0" shapeId="0" xr:uid="{F47FC45A-74EE-450B-AF73-A712CE656CF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08.05.24</t>
        </r>
      </text>
    </comment>
    <comment ref="AL3" authorId="0" shapeId="0" xr:uid="{E6AB30D1-EE51-4CB6-9C8D-ACA5461C05D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09.10.24</t>
        </r>
      </text>
    </comment>
    <comment ref="AM3" authorId="0" shapeId="0" xr:uid="{F7618FEF-7ACE-4151-90E5-6E71B6FAAD0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09.10.24</t>
        </r>
      </text>
    </comment>
    <comment ref="AN3" authorId="0" shapeId="0" xr:uid="{768FDA87-F734-4800-9337-8CB6D8AD4E4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30.09.24</t>
        </r>
      </text>
    </comment>
    <comment ref="AO3" authorId="0" shapeId="0" xr:uid="{286BDC9D-A6B7-40BB-9DEA-84349ED18F2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ETD 15.11.24
check 27.01.25</t>
        </r>
      </text>
    </comment>
    <comment ref="AP3" authorId="0" shapeId="0" xr:uid="{92E725E0-AD65-4C2D-9BA2-7A446A0307C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03.01.25</t>
        </r>
      </text>
    </comment>
    <comment ref="AQ3" authorId="0" shapeId="0" xr:uid="{04799773-32DB-4CFE-B021-F8DBD78E96A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17.03.25
ETA 01.05
CHECK 23.05.2025</t>
        </r>
      </text>
    </comment>
    <comment ref="B3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17166000012232 wrong</t>
        </r>
      </text>
    </comment>
    <comment ref="AE4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+ 26 pz</t>
        </r>
      </text>
    </comment>
    <comment ref="AG4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50 pcs
mail 08.01.24</t>
        </r>
      </text>
    </comment>
    <comment ref="AJ40" authorId="0" shapeId="0" xr:uid="{880C7F03-ABF8-4934-AD88-AA66FD3B07D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40 pz by plane
check 23.07.24</t>
        </r>
      </text>
    </comment>
    <comment ref="O4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PO 4507632757</t>
        </r>
      </text>
    </comment>
    <comment ref="AE4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- 26 pz</t>
        </r>
      </text>
    </comment>
    <comment ref="O4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PO 4507632757</t>
        </r>
      </text>
    </comment>
    <comment ref="P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PO 4507632757</t>
        </r>
      </text>
    </comment>
    <comment ref="H47" authorId="0" shapeId="0" xr:uid="{BF100986-267C-4573-9518-43F9447065B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PO 240718</t>
        </r>
      </text>
    </comment>
    <comment ref="T4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PO 4507632757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A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20.11.23
li caricheranno a fine febbraio...</t>
        </r>
      </text>
    </comment>
    <comment ref="A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ETD 07.03.24
check 10.06.24</t>
        </r>
      </text>
    </comment>
    <comment ref="AP4" authorId="0" shapeId="0" xr:uid="{D0C5AFA3-3F2D-4E22-8892-D54E94F85E4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17.05.24</t>
        </r>
      </text>
    </comment>
    <comment ref="AQ4" authorId="0" shapeId="0" xr:uid="{7B7E76BB-773D-4E3A-974E-FEBAC438878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ETD 19.08.24</t>
        </r>
      </text>
    </comment>
    <comment ref="AS4" authorId="0" shapeId="0" xr:uid="{14E515A5-1164-4903-9FD1-BEDA116F4F1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02.10.24</t>
        </r>
      </text>
    </comment>
    <comment ref="AT4" authorId="0" shapeId="0" xr:uid="{0CB1EAD1-EB78-42F5-9D48-E314FAF3FCA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check 14.02.25</t>
        </r>
      </text>
    </comment>
    <comment ref="AP14" authorId="0" shapeId="0" xr:uid="{259B80AE-A38B-4B5D-9CD7-D3516D5C710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trovati rotti</t>
        </r>
      </text>
    </comment>
    <comment ref="AP15" authorId="0" shapeId="0" xr:uid="{8F8790CF-77D7-49E2-999F-A62F93AC975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 pz rotto</t>
        </r>
      </text>
    </comment>
    <comment ref="AP16" authorId="0" shapeId="0" xr:uid="{6ADCFF51-67F1-4B3A-B40E-37626C30D36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trovati rotti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V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17.11.23</t>
        </r>
      </text>
    </comment>
    <comment ref="W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17.11.23</t>
        </r>
      </text>
    </comment>
    <comment ref="X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20.11.23
check 22.04.24</t>
        </r>
      </text>
    </comment>
    <comment ref="Y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ETD 09.01.24
ETA 15.02.24 genova</t>
        </r>
      </text>
    </comment>
    <comment ref="Z3" authorId="0" shapeId="0" xr:uid="{E088D3E1-828B-4877-8E94-F7466A88E0B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11.04.24</t>
        </r>
      </text>
    </comment>
    <comment ref="AA3" authorId="0" shapeId="0" xr:uid="{64CED213-7E4C-4723-8A70-C85ADC31690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24.07.24
check 02.10.24</t>
        </r>
      </text>
    </comment>
    <comment ref="AB3" authorId="0" shapeId="0" xr:uid="{603020D9-09A7-4BB5-B339-1D574254797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05.11.24</t>
        </r>
      </text>
    </comment>
    <comment ref="AC3" authorId="0" shapeId="0" xr:uid="{EB39C610-C942-4DF3-BAFA-AEFB78C9AEC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30.12.24
arrivato 12.03.25</t>
        </r>
      </text>
    </comment>
    <comment ref="AD3" authorId="0" shapeId="0" xr:uid="{BBFC266B-794F-4343-81DD-DE6508EBC1C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09.12.24</t>
        </r>
      </text>
    </comment>
    <comment ref="AE3" authorId="0" shapeId="0" xr:uid="{EE9DC390-563A-448B-A140-853DC338CF8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11.02.25
ETA inizio Aprile
check 02.05.25</t>
        </r>
      </text>
    </comment>
  </commentList>
</comments>
</file>

<file path=xl/sharedStrings.xml><?xml version="1.0" encoding="utf-8"?>
<sst xmlns="http://schemas.openxmlformats.org/spreadsheetml/2006/main" count="2223" uniqueCount="1101">
  <si>
    <t>STAT</t>
  </si>
  <si>
    <t>ELE</t>
  </si>
  <si>
    <t>EX_ID</t>
  </si>
  <si>
    <t>Spare Parts Code</t>
  </si>
  <si>
    <t>Part Name(EN)</t>
  </si>
  <si>
    <t>Part Name(CN)</t>
  </si>
  <si>
    <t>Main Wire Harness</t>
  </si>
  <si>
    <t>线束</t>
  </si>
  <si>
    <t>Descr. ITA</t>
  </si>
  <si>
    <t>Price EUR</t>
  </si>
  <si>
    <t>out PASS</t>
  </si>
  <si>
    <t>stock PASS</t>
  </si>
  <si>
    <t>prezzo EURO al CAT NO trasporto - NO iva - NETTO</t>
  </si>
  <si>
    <t xml:space="preserve">prezzo EURO al CAT CON trasporto - NO iva </t>
  </si>
  <si>
    <t>prezzo EURO al PUBBLICO (suggerito) con IVA</t>
  </si>
  <si>
    <t>AMGH60F43</t>
  </si>
  <si>
    <t>AMGH60L43</t>
  </si>
  <si>
    <t>AAAMAZE</t>
  </si>
  <si>
    <t>60SJ402_MTE27</t>
  </si>
  <si>
    <t>60SL403_MTE01</t>
  </si>
  <si>
    <t>3+G30</t>
  </si>
  <si>
    <t>38+G30</t>
  </si>
  <si>
    <t>39+G30</t>
  </si>
  <si>
    <t>12366200003999</t>
  </si>
  <si>
    <t>12966200003232</t>
  </si>
  <si>
    <t>12966200003172</t>
  </si>
  <si>
    <t>12266200004986</t>
  </si>
  <si>
    <t>12166200000897</t>
  </si>
  <si>
    <t>12666200000043</t>
  </si>
  <si>
    <t>12971100018561</t>
  </si>
  <si>
    <t>12971100010126</t>
  </si>
  <si>
    <t>12971100001261</t>
  </si>
  <si>
    <t>12971100001714</t>
  </si>
  <si>
    <t>12971100017760</t>
  </si>
  <si>
    <t>12971100010131</t>
  </si>
  <si>
    <t>12971100010125</t>
  </si>
  <si>
    <t>12971100001239</t>
  </si>
  <si>
    <t>12971100001712</t>
  </si>
  <si>
    <t>12966200005536</t>
  </si>
  <si>
    <t>12266200004981</t>
  </si>
  <si>
    <t>17466200000123</t>
  </si>
  <si>
    <t>17466200000483</t>
  </si>
  <si>
    <t>12266200008038</t>
  </si>
  <si>
    <t>12971100001255</t>
  </si>
  <si>
    <t>12971100001711</t>
  </si>
  <si>
    <t>12366200005740</t>
  </si>
  <si>
    <t>12366200011176</t>
  </si>
  <si>
    <t>12971100A74120</t>
  </si>
  <si>
    <t>12966200001941</t>
  </si>
  <si>
    <t>12966200000961</t>
  </si>
  <si>
    <t>12966200005538</t>
  </si>
  <si>
    <t>12966200005537</t>
  </si>
  <si>
    <t>17466200001122</t>
  </si>
  <si>
    <t>17466200001002</t>
  </si>
  <si>
    <t>12966200A00128</t>
  </si>
  <si>
    <t>12966200003182</t>
  </si>
  <si>
    <t>12966200003177</t>
  </si>
  <si>
    <t>12966200003176</t>
  </si>
  <si>
    <t>12971100A74121</t>
  </si>
  <si>
    <t>Pan Support Assembly</t>
  </si>
  <si>
    <t>锅支架组件</t>
  </si>
  <si>
    <t>Injector</t>
  </si>
  <si>
    <t>喷嘴</t>
  </si>
  <si>
    <t>Panel</t>
  </si>
  <si>
    <t>面板</t>
  </si>
  <si>
    <t>Knob Assembly</t>
  </si>
  <si>
    <t>旋钮组件</t>
  </si>
  <si>
    <t>Knob Waterproof Ring</t>
  </si>
  <si>
    <t>旋钮防水胶圈</t>
  </si>
  <si>
    <t>Burner Cap</t>
  </si>
  <si>
    <t>火盖</t>
  </si>
  <si>
    <t>Flame Spreader</t>
  </si>
  <si>
    <t>喷火器</t>
  </si>
  <si>
    <t>Bottom Cup</t>
  </si>
  <si>
    <t>底杯</t>
  </si>
  <si>
    <t>Ignition Needle</t>
  </si>
  <si>
    <t>点火针</t>
  </si>
  <si>
    <t>Thermocouple</t>
  </si>
  <si>
    <t>热电偶</t>
  </si>
  <si>
    <t>Aluminum Gas Tube Assembly</t>
  </si>
  <si>
    <t>配气管组件</t>
  </si>
  <si>
    <t>Flameout Protection Valve</t>
  </si>
  <si>
    <t>熄保阀</t>
  </si>
  <si>
    <t>Valve Bracket</t>
  </si>
  <si>
    <t>阀体支架</t>
  </si>
  <si>
    <t>Pulse Ignition</t>
  </si>
  <si>
    <t>脉冲点火器</t>
  </si>
  <si>
    <t>European standard power cord</t>
  </si>
  <si>
    <t>欧标电源线</t>
  </si>
  <si>
    <t>Bottom Plate</t>
  </si>
  <si>
    <t>底壳</t>
  </si>
  <si>
    <t>Gas Inlet Pipe Assembly</t>
  </si>
  <si>
    <t>进气管组件</t>
  </si>
  <si>
    <t>Hose Coupler</t>
  </si>
  <si>
    <t>软管接头</t>
  </si>
  <si>
    <t>Harness Switch</t>
  </si>
  <si>
    <t>线束开关</t>
  </si>
  <si>
    <t>iniettore metano medio</t>
  </si>
  <si>
    <t>iniettore GPL medio</t>
  </si>
  <si>
    <t>manopola gas</t>
  </si>
  <si>
    <t>guarnizione della manopola</t>
  </si>
  <si>
    <t>copri-corona del bruciatore medio</t>
  </si>
  <si>
    <t>corona del bruciatpre medio</t>
  </si>
  <si>
    <t>CK;CORPO BRUCIATORE MEDIO</t>
  </si>
  <si>
    <t>CK;CANDELETTA FUOCO PICCOLO</t>
  </si>
  <si>
    <t>CK;TERMOCOPPIA BRUCIATORE MEDIO</t>
  </si>
  <si>
    <t>copri-corona del bruciatore piccolo</t>
  </si>
  <si>
    <t>CK;CORONA DEL BRUCIATORE PICCOLO</t>
  </si>
  <si>
    <t>CK;CORPO BRUCIATORE PICCOLO</t>
  </si>
  <si>
    <t>CK;CANDELETTA FUOCO MEDIO</t>
  </si>
  <si>
    <t>CK;TERMOCOPPIA BRUCIATORE PICCOLO</t>
  </si>
  <si>
    <t>tubo anteriore destro</t>
  </si>
  <si>
    <t>valvole gas piano cottura fuoco piccolo</t>
  </si>
  <si>
    <t>circuito alimentazione candelette</t>
  </si>
  <si>
    <t>spina elettrica con cavo</t>
  </si>
  <si>
    <t>CK;CANDELETTA ACCENSIONE TRIPLO</t>
  </si>
  <si>
    <t>CK;TERMOCOPPIA BRUCIATORE TRIPLO</t>
  </si>
  <si>
    <t>CK;CORPO BRUCIATORE TRIPLO</t>
  </si>
  <si>
    <t>corona del bruciatpre TRIPLO</t>
  </si>
  <si>
    <t>copri-corona del bruciatore TRIPLO</t>
  </si>
  <si>
    <t>tubo principale ditributore GAS</t>
  </si>
  <si>
    <t>raccordo tubo gas esterno</t>
  </si>
  <si>
    <t>tubo anteriore sinistro</t>
  </si>
  <si>
    <t>tubo posteriore sinistro</t>
  </si>
  <si>
    <t>tubo posteriore destro</t>
  </si>
  <si>
    <t>cablaggio</t>
  </si>
  <si>
    <t>pulsante interruttore scintilla</t>
  </si>
  <si>
    <t>iniettore metano TRIPLO</t>
  </si>
  <si>
    <t>iniettore GPL TRIPLO</t>
  </si>
  <si>
    <t>iniettore metano piccolo</t>
  </si>
  <si>
    <t>iniettore GPL piccolo</t>
  </si>
  <si>
    <t>piattello del bruciatore TRIPLO</t>
  </si>
  <si>
    <t>valvole gas piano cottura fuoco medio</t>
  </si>
  <si>
    <t>valvole gas piano cottura fuoco TRIPLO</t>
  </si>
  <si>
    <t>ACC</t>
  </si>
  <si>
    <t>GAS</t>
  </si>
  <si>
    <t>CAR-2</t>
  </si>
  <si>
    <t>CAR-1</t>
  </si>
  <si>
    <t>GAS-A</t>
  </si>
  <si>
    <t>ELE-V</t>
  </si>
  <si>
    <t>26-2</t>
  </si>
  <si>
    <t>26-3</t>
  </si>
  <si>
    <t>26-4</t>
  </si>
  <si>
    <t>12366200000475</t>
  </si>
  <si>
    <t>12666200000007</t>
  </si>
  <si>
    <t>12266200007697</t>
  </si>
  <si>
    <t>12666200000001</t>
  </si>
  <si>
    <t>12266200007857</t>
  </si>
  <si>
    <t>12971100001131</t>
  </si>
  <si>
    <t>12966200000203</t>
  </si>
  <si>
    <t>12366200005915</t>
  </si>
  <si>
    <t>12366200005919</t>
  </si>
  <si>
    <t>12366200005921</t>
  </si>
  <si>
    <t>12966200005813</t>
  </si>
  <si>
    <t>12266200000854</t>
  </si>
  <si>
    <t>12966200000200</t>
  </si>
  <si>
    <t>12966200000201</t>
  </si>
  <si>
    <t>12971100001713</t>
  </si>
  <si>
    <t>Pan Support Gasket</t>
  </si>
  <si>
    <t>锅支架胶垫</t>
  </si>
  <si>
    <t>Bottom Plate Fixed Clamp</t>
  </si>
  <si>
    <t>底板固定夹</t>
  </si>
  <si>
    <t>gommino griglia</t>
  </si>
  <si>
    <t>CK;GOMMINI DELLE SEMIGRIGLIE</t>
  </si>
  <si>
    <t>morsetti per fissaggio</t>
  </si>
  <si>
    <t>tubo anteriore/posteriore destro</t>
  </si>
  <si>
    <t>termocoppia fuochi vicini</t>
  </si>
  <si>
    <t xml:space="preserve">MC-IF7454AJ1-A </t>
  </si>
  <si>
    <t>MC-IF7455J1CC-A</t>
  </si>
  <si>
    <t xml:space="preserve">MC-ID3592-A1C </t>
  </si>
  <si>
    <t>HYUNDAI</t>
  </si>
  <si>
    <t>ELECTROLINE</t>
  </si>
  <si>
    <t>ZOPPAS</t>
  </si>
  <si>
    <t>IHN460</t>
  </si>
  <si>
    <t>IHN460F</t>
  </si>
  <si>
    <t>IHN2F30</t>
  </si>
  <si>
    <t>IHES4S6</t>
  </si>
  <si>
    <t>IHES4TS6F</t>
  </si>
  <si>
    <t>IHES2D30F</t>
  </si>
  <si>
    <t>MZIHA6040</t>
  </si>
  <si>
    <t>MZIHA6040F</t>
  </si>
  <si>
    <t>MZIHA2820F</t>
  </si>
  <si>
    <t>12966000A10364</t>
  </si>
  <si>
    <t>Glass Assembly (Electroline)</t>
  </si>
  <si>
    <t>玻璃板组件</t>
  </si>
  <si>
    <t>Piano in vetro ceramico (Electroline)</t>
  </si>
  <si>
    <t>CAR</t>
  </si>
  <si>
    <t>12966000A10365</t>
  </si>
  <si>
    <t>1</t>
  </si>
  <si>
    <t>12966000A10426</t>
  </si>
  <si>
    <t>Glass Assembly (Hyundai)</t>
  </si>
  <si>
    <t>Piano in vetro ceramico (Hyundai)</t>
  </si>
  <si>
    <t>12966000A10425</t>
  </si>
  <si>
    <t>12966000A10604</t>
  </si>
  <si>
    <t>Glass Assembly (Zoppas)</t>
  </si>
  <si>
    <t>Piano in vetro ceramico (Zoppas)</t>
  </si>
  <si>
    <t>12966000A10605</t>
  </si>
  <si>
    <t>12966000A10444</t>
  </si>
  <si>
    <t>Glass Plate Bracket (Hyundai)</t>
  </si>
  <si>
    <t>12966000A10584</t>
  </si>
  <si>
    <t>Glass Plate Bracket (Electroline)</t>
  </si>
  <si>
    <t>12966000A10624</t>
  </si>
  <si>
    <t>Glass Plate Bracket (Zoppas)</t>
  </si>
  <si>
    <t>30</t>
  </si>
  <si>
    <t>12966000001310</t>
  </si>
  <si>
    <t>Aluminum Sheet</t>
  </si>
  <si>
    <t>铝片</t>
  </si>
  <si>
    <t>Foglio alluminio</t>
  </si>
  <si>
    <t>CAR-not</t>
  </si>
  <si>
    <t>31</t>
  </si>
  <si>
    <t>12966000001348</t>
  </si>
  <si>
    <t>12966000001409</t>
  </si>
  <si>
    <t>14</t>
  </si>
  <si>
    <t>12766000000571</t>
  </si>
  <si>
    <t>Heat Insulation Mica Sheet</t>
  </si>
  <si>
    <t>绝缘云母片</t>
  </si>
  <si>
    <t>12766000000911</t>
  </si>
  <si>
    <t xml:space="preserve">Heat Insulation Mica </t>
  </si>
  <si>
    <t>5</t>
  </si>
  <si>
    <t>17466000005629</t>
  </si>
  <si>
    <t>Coil Plate</t>
  </si>
  <si>
    <t>线圈盘</t>
  </si>
  <si>
    <t>Bobina magnetica 1500 W</t>
  </si>
  <si>
    <t>6</t>
  </si>
  <si>
    <t>17466000005630</t>
  </si>
  <si>
    <t>Bobina magnetica 2600 W</t>
  </si>
  <si>
    <t>7</t>
  </si>
  <si>
    <t>17466000005625</t>
  </si>
  <si>
    <t>Bobina magnetica 2000 W</t>
  </si>
  <si>
    <t>12</t>
  </si>
  <si>
    <t>17166000012576</t>
  </si>
  <si>
    <t>Display Panel</t>
  </si>
  <si>
    <t>显示板</t>
  </si>
  <si>
    <t>Scheda display</t>
  </si>
  <si>
    <t>17166000014935</t>
  </si>
  <si>
    <t>17166000015285</t>
  </si>
  <si>
    <t>17</t>
  </si>
  <si>
    <t>17166000013399</t>
  </si>
  <si>
    <t>Main control panel</t>
  </si>
  <si>
    <t>主控板</t>
  </si>
  <si>
    <t>Scheda di controllo principale (sinistra)</t>
  </si>
  <si>
    <t>18</t>
  </si>
  <si>
    <t>17166000012236</t>
  </si>
  <si>
    <t>Scheda di controllo principale (destra)</t>
  </si>
  <si>
    <t>17166000015275</t>
  </si>
  <si>
    <t>Scheda di controllo principale</t>
  </si>
  <si>
    <t>22</t>
  </si>
  <si>
    <t>17166000012240</t>
  </si>
  <si>
    <t>Power Supply Board</t>
  </si>
  <si>
    <t>电源板</t>
  </si>
  <si>
    <t>Scheda di alimentazione</t>
  </si>
  <si>
    <t>17166000012912_ex_17166000012240</t>
  </si>
  <si>
    <t>3</t>
  </si>
  <si>
    <t>17466000000402</t>
  </si>
  <si>
    <t>Sensor</t>
  </si>
  <si>
    <t>热敏电阻组件</t>
  </si>
  <si>
    <t>Sensore di temperatura</t>
  </si>
  <si>
    <t>17166000011914</t>
  </si>
  <si>
    <t>Butting Connector</t>
  </si>
  <si>
    <t>连接器件</t>
  </si>
  <si>
    <t>Connettore</t>
  </si>
  <si>
    <t>ELE-v</t>
  </si>
  <si>
    <t>17166000011912</t>
  </si>
  <si>
    <t>17461100003345</t>
  </si>
  <si>
    <t>Flat wire assembly</t>
  </si>
  <si>
    <t>排线组件</t>
  </si>
  <si>
    <t>Cavo di collegamento</t>
  </si>
  <si>
    <t>17466000005866</t>
  </si>
  <si>
    <t>Cablaggio elettrico (destra)</t>
  </si>
  <si>
    <t>17466000005865</t>
  </si>
  <si>
    <t>Cablaggio elettrico (sinistra)</t>
  </si>
  <si>
    <t>25</t>
  </si>
  <si>
    <t>17466000005628</t>
  </si>
  <si>
    <t>Power Cord</t>
  </si>
  <si>
    <t>电源线</t>
  </si>
  <si>
    <t>Cavo di alimentazione</t>
  </si>
  <si>
    <t>17466000000208</t>
  </si>
  <si>
    <t>2</t>
  </si>
  <si>
    <t>11201307001003</t>
  </si>
  <si>
    <t>Thermistor resistor</t>
  </si>
  <si>
    <t>热敏电阻</t>
  </si>
  <si>
    <t>Termistore</t>
  </si>
  <si>
    <t>15</t>
  </si>
  <si>
    <t>17466000005488</t>
  </si>
  <si>
    <t>Fan Assembly</t>
  </si>
  <si>
    <t>风机组件</t>
  </si>
  <si>
    <t>Gruppo ventilatore + motore</t>
  </si>
  <si>
    <t>FAN</t>
  </si>
  <si>
    <t>17400801006843</t>
  </si>
  <si>
    <t>Cooling fan assembly</t>
  </si>
  <si>
    <t>12166000002937</t>
  </si>
  <si>
    <t>Cord Press Panel</t>
  </si>
  <si>
    <t>压线板</t>
  </si>
  <si>
    <t>Pressacavo</t>
  </si>
  <si>
    <t>not</t>
  </si>
  <si>
    <t>12666100000324</t>
  </si>
  <si>
    <t>Rubber Sealing Strip</t>
  </si>
  <si>
    <t>密封胶条</t>
  </si>
  <si>
    <t>Tenuta in gomma</t>
  </si>
  <si>
    <t>11303119000027</t>
  </si>
  <si>
    <t>Tapping screw</t>
  </si>
  <si>
    <t>十字槽扁圆头自攻螺钉</t>
  </si>
  <si>
    <t>Viti</t>
  </si>
  <si>
    <t>11300915000003</t>
  </si>
  <si>
    <t xml:space="preserve">Cross recessed small pan head screws and washer </t>
  </si>
  <si>
    <t>十字槽小盘头螺钉和弹簧垫圈及平垫圈组合件</t>
  </si>
  <si>
    <t>Rondelle</t>
  </si>
  <si>
    <t>28</t>
  </si>
  <si>
    <t>12966000000009</t>
  </si>
  <si>
    <t>Hanging Plate Fitting</t>
  </si>
  <si>
    <t>挂板配件</t>
  </si>
  <si>
    <t>Attacco piastra</t>
  </si>
  <si>
    <t>27</t>
  </si>
  <si>
    <t>12166000007173</t>
  </si>
  <si>
    <t>Lampstand</t>
  </si>
  <si>
    <t>底座</t>
  </si>
  <si>
    <t>Base del piano cottura</t>
  </si>
  <si>
    <t>12166000008774</t>
  </si>
  <si>
    <t>26</t>
  </si>
  <si>
    <t>12166000007174</t>
  </si>
  <si>
    <t>Power Cord Box Lid</t>
  </si>
  <si>
    <t>电源线盒盖</t>
  </si>
  <si>
    <t>Copertura cavo alimentazione</t>
  </si>
  <si>
    <t>AMIH302FF</t>
  </si>
  <si>
    <t>MC-ID3592-A1C</t>
  </si>
  <si>
    <t>MC-IF7454AJ1-A</t>
  </si>
  <si>
    <t>AMIH604F</t>
  </si>
  <si>
    <t>17166000016635</t>
  </si>
  <si>
    <t>12966000A14229</t>
  </si>
  <si>
    <t>Glass Plate Bracket Assembly (AAAmaze)</t>
  </si>
  <si>
    <t>玻璃板支架组件</t>
  </si>
  <si>
    <t>Piano in vetro ceramico (AAAmaze)</t>
  </si>
  <si>
    <t>17166000018015</t>
  </si>
  <si>
    <t>17166000018036</t>
  </si>
  <si>
    <t>17166000018035</t>
  </si>
  <si>
    <t>12166000008754</t>
  </si>
  <si>
    <t>Wire Harness</t>
  </si>
  <si>
    <t>导线</t>
  </si>
  <si>
    <t>17466000000163</t>
  </si>
  <si>
    <t>Cavo cablaggio</t>
  </si>
  <si>
    <t>17466000002653</t>
  </si>
  <si>
    <t>风机</t>
  </si>
  <si>
    <t>Glass Assembly (AAAmaze)</t>
  </si>
  <si>
    <t>12966000A14151</t>
  </si>
  <si>
    <t>17401202015510</t>
  </si>
  <si>
    <t>17400307000965</t>
  </si>
  <si>
    <t>17400307000964</t>
  </si>
  <si>
    <t>17400307000962</t>
  </si>
  <si>
    <t>coil panel</t>
  </si>
  <si>
    <t>Fan motor</t>
  </si>
  <si>
    <t>A23</t>
  </si>
  <si>
    <t>A35</t>
  </si>
  <si>
    <t>A49</t>
  </si>
  <si>
    <t>A50</t>
  </si>
  <si>
    <t>C13</t>
  </si>
  <si>
    <t>C16</t>
  </si>
  <si>
    <t>G07</t>
  </si>
  <si>
    <t>G09</t>
  </si>
  <si>
    <t>G16</t>
  </si>
  <si>
    <t>G21-1</t>
  </si>
  <si>
    <t>G21-2</t>
  </si>
  <si>
    <t>I01</t>
  </si>
  <si>
    <t>I09</t>
  </si>
  <si>
    <t>I29</t>
  </si>
  <si>
    <t>I46</t>
  </si>
  <si>
    <t>I63</t>
  </si>
  <si>
    <t>I64</t>
  </si>
  <si>
    <t>H02A</t>
  </si>
  <si>
    <t>C32</t>
  </si>
  <si>
    <t>A12</t>
  </si>
  <si>
    <t>A15-1</t>
  </si>
  <si>
    <t>A30</t>
  </si>
  <si>
    <t>A32</t>
  </si>
  <si>
    <t>A42</t>
  </si>
  <si>
    <t>A43</t>
  </si>
  <si>
    <t>A53</t>
  </si>
  <si>
    <t>A61</t>
  </si>
  <si>
    <t>D13</t>
  </si>
  <si>
    <t>D14</t>
  </si>
  <si>
    <t>G10</t>
  </si>
  <si>
    <t>G18</t>
  </si>
  <si>
    <t>I19</t>
  </si>
  <si>
    <t>I26</t>
  </si>
  <si>
    <t>I40</t>
  </si>
  <si>
    <t>B00</t>
  </si>
  <si>
    <t>B01</t>
  </si>
  <si>
    <t>B02</t>
  </si>
  <si>
    <t>B11(1-2)</t>
  </si>
  <si>
    <t>B12</t>
  </si>
  <si>
    <t>B13</t>
  </si>
  <si>
    <t>B20</t>
  </si>
  <si>
    <t>B00C (B24+B25+B26)</t>
  </si>
  <si>
    <t>B37</t>
  </si>
  <si>
    <t>B38</t>
  </si>
  <si>
    <t>I53-1</t>
  </si>
  <si>
    <t>C00</t>
  </si>
  <si>
    <t>C11</t>
  </si>
  <si>
    <t>C15</t>
  </si>
  <si>
    <t>C30</t>
  </si>
  <si>
    <t>G08</t>
  </si>
  <si>
    <t>G15</t>
  </si>
  <si>
    <t>G24</t>
  </si>
  <si>
    <t>G26</t>
  </si>
  <si>
    <t>front plate</t>
  </si>
  <si>
    <t>前板</t>
  </si>
  <si>
    <t>cavity sealing ring</t>
  </si>
  <si>
    <t>腔体密封圈</t>
  </si>
  <si>
    <t>encloser(Right)</t>
  </si>
  <si>
    <t>外罩(右)</t>
  </si>
  <si>
    <t>encloser(Left)</t>
  </si>
  <si>
    <t>外罩(左)</t>
  </si>
  <si>
    <t>control panel back cover</t>
  </si>
  <si>
    <t>控制板后罩</t>
  </si>
  <si>
    <t>control panel cover</t>
  </si>
  <si>
    <t>控制板罩</t>
  </si>
  <si>
    <t xml:space="preserve">power cord </t>
  </si>
  <si>
    <t xml:space="preserve">电源线 </t>
  </si>
  <si>
    <t>teminal block</t>
  </si>
  <si>
    <t>接线排</t>
  </si>
  <si>
    <t>cooling fan motor</t>
  </si>
  <si>
    <t>排气电机</t>
  </si>
  <si>
    <t>thermostat 55℃</t>
  </si>
  <si>
    <t>温控器 55℃</t>
  </si>
  <si>
    <t>thermostat 250℃</t>
  </si>
  <si>
    <t>温控器 250℃</t>
  </si>
  <si>
    <t>fastener assembly</t>
  </si>
  <si>
    <t>紧固件组件</t>
  </si>
  <si>
    <t>Following encloser</t>
  </si>
  <si>
    <t>底外罩</t>
  </si>
  <si>
    <t>back cover</t>
  </si>
  <si>
    <t>后外罩</t>
  </si>
  <si>
    <t>top cover</t>
  </si>
  <si>
    <t>上外罩</t>
  </si>
  <si>
    <t>hinge fixed frame (Right)</t>
  </si>
  <si>
    <t>铰链固定架(右)</t>
  </si>
  <si>
    <t>hinge fixed frame (Left)</t>
  </si>
  <si>
    <t>铰链固定架(左)</t>
  </si>
  <si>
    <t>power board A</t>
  </si>
  <si>
    <t>电源板A</t>
  </si>
  <si>
    <t>power board bracket</t>
  </si>
  <si>
    <t>电源板支架</t>
  </si>
  <si>
    <t>bake rack</t>
  </si>
  <si>
    <t>烤架</t>
  </si>
  <si>
    <t>bake tray（deep）</t>
  </si>
  <si>
    <t>烤盘（深）</t>
  </si>
  <si>
    <t>cavity</t>
  </si>
  <si>
    <t>腔体</t>
  </si>
  <si>
    <t>Cavity insulation</t>
  </si>
  <si>
    <t>腔体隔热棉</t>
  </si>
  <si>
    <t>convection motor cover</t>
  </si>
  <si>
    <t>热风电机罩</t>
  </si>
  <si>
    <t>convection fan blade</t>
  </si>
  <si>
    <t>热风扇叶</t>
  </si>
  <si>
    <t>under heating element &amp; cover</t>
  </si>
  <si>
    <t>下发热管罩组件</t>
  </si>
  <si>
    <t>metal heating element*(top)</t>
  </si>
  <si>
    <t>金属发热管(上)</t>
  </si>
  <si>
    <t>Rail bracket(Right)</t>
  </si>
  <si>
    <t>导轨支架(右)</t>
  </si>
  <si>
    <t>Rail bracket(Left)</t>
  </si>
  <si>
    <t>导轨支架(左)</t>
  </si>
  <si>
    <t>lamp</t>
  </si>
  <si>
    <t>炉灯</t>
  </si>
  <si>
    <t>convection motor</t>
  </si>
  <si>
    <t>热风电机</t>
  </si>
  <si>
    <t>insulation cover</t>
  </si>
  <si>
    <t>隔热棉支撑板</t>
  </si>
  <si>
    <t>back insulation</t>
  </si>
  <si>
    <t>后端隔热棉</t>
  </si>
  <si>
    <t>exhaust pipe</t>
  </si>
  <si>
    <t>排气管</t>
  </si>
  <si>
    <t>door ass'y</t>
  </si>
  <si>
    <t>炉门组件</t>
  </si>
  <si>
    <t>door handle cushion</t>
  </si>
  <si>
    <t>拉手垫片</t>
  </si>
  <si>
    <t>handle support</t>
  </si>
  <si>
    <t>拉手支撑柱</t>
  </si>
  <si>
    <t>door hinge ass'y</t>
  </si>
  <si>
    <t>门铰链组件</t>
  </si>
  <si>
    <t>door handle</t>
  </si>
  <si>
    <t>门拉手</t>
  </si>
  <si>
    <t>door inner glass</t>
  </si>
  <si>
    <t>门内窗玻璃</t>
  </si>
  <si>
    <t>door frame up cover</t>
  </si>
  <si>
    <t>门体上盖</t>
  </si>
  <si>
    <t>门外窗滴胶组件 Outer Door Drop Glue Assembly (door outer glass + door frame bracketS)</t>
  </si>
  <si>
    <t>门体支架(右）+  门体支架(左）+  门外窗玻璃</t>
  </si>
  <si>
    <t>door rotary bracket (Right)</t>
  </si>
  <si>
    <t>门体旋转支架(右）</t>
  </si>
  <si>
    <t>door rotary bracket (Left)</t>
  </si>
  <si>
    <t>门体旋转支架(左）</t>
  </si>
  <si>
    <t>rubber gasket A</t>
  </si>
  <si>
    <t>橡胶垫 A</t>
  </si>
  <si>
    <t>control panel ass'y</t>
  </si>
  <si>
    <t>控制面板组件</t>
  </si>
  <si>
    <t>control panel holder</t>
  </si>
  <si>
    <t>控制板固定框</t>
  </si>
  <si>
    <t>control panel decoration</t>
  </si>
  <si>
    <t>控制板贴片</t>
  </si>
  <si>
    <t>knob ass'y</t>
  </si>
  <si>
    <t>timer</t>
  </si>
  <si>
    <t>定时器</t>
  </si>
  <si>
    <t>energy controller</t>
  </si>
  <si>
    <t>能量控制器</t>
  </si>
  <si>
    <t>indicator</t>
  </si>
  <si>
    <t>指示灯</t>
  </si>
  <si>
    <t>switch on-off</t>
  </si>
  <si>
    <t>转换开关</t>
  </si>
  <si>
    <t>12971100A75005</t>
  </si>
  <si>
    <t>12271100A24953</t>
  </si>
  <si>
    <t>12571100A30181</t>
  </si>
  <si>
    <t>12971100A88729</t>
  </si>
  <si>
    <t>12271100A21146</t>
  </si>
  <si>
    <t>guarnizione porta del forno</t>
  </si>
  <si>
    <t>gruppo ventilatore raffreddamento (superiore)</t>
  </si>
  <si>
    <t>Termostato bimetallico bassa temp.</t>
  </si>
  <si>
    <t>Termostato bimetallico alta temp.</t>
  </si>
  <si>
    <t>scheda elettronica di controllo</t>
  </si>
  <si>
    <t>supporto scheda di controllo</t>
  </si>
  <si>
    <t>griglia interna forno</t>
  </si>
  <si>
    <t>vassoio interno forno</t>
  </si>
  <si>
    <t>copertura ventola raffreddamento</t>
  </si>
  <si>
    <t>ventola raffreddamento</t>
  </si>
  <si>
    <t>gruppo resistenza inferiore</t>
  </si>
  <si>
    <t>gruppo resistenza superiore</t>
  </si>
  <si>
    <t>griglia laterale per supporto vassoi destra</t>
  </si>
  <si>
    <t>griglia laterale per supporto vassoi sinistra</t>
  </si>
  <si>
    <t>lampadina del forno</t>
  </si>
  <si>
    <t>gruppo ventilatore principale (posteriore)</t>
  </si>
  <si>
    <t>porta completa</t>
  </si>
  <si>
    <t>supporto maniglia della porta</t>
  </si>
  <si>
    <t>cerniera della porta forno</t>
  </si>
  <si>
    <t>maniglia della porta forno</t>
  </si>
  <si>
    <t>vetro interno porta</t>
  </si>
  <si>
    <t>Profilo superiore porta</t>
  </si>
  <si>
    <t>vetro esterno porta assemblato</t>
  </si>
  <si>
    <t>plastica inferiore vetro interno destra</t>
  </si>
  <si>
    <t>plastica inferiore vetro interno sinistra</t>
  </si>
  <si>
    <t>Pannello di controllo (frontale)</t>
  </si>
  <si>
    <t>manopola dei comandi elettrici</t>
  </si>
  <si>
    <t>comando timer</t>
  </si>
  <si>
    <t>comando termostato</t>
  </si>
  <si>
    <t>spia luminosa di funzionamento</t>
  </si>
  <si>
    <t>selettore programmi</t>
  </si>
  <si>
    <t>STAT SOFTECH</t>
  </si>
  <si>
    <t>K831</t>
  </si>
  <si>
    <t>KE711</t>
  </si>
  <si>
    <t>KE121</t>
  </si>
  <si>
    <t>KE122</t>
  </si>
  <si>
    <t>KE200</t>
  </si>
  <si>
    <t>KAC21</t>
  </si>
  <si>
    <t>KAC22</t>
  </si>
  <si>
    <t>K8703</t>
  </si>
  <si>
    <t>KE311</t>
  </si>
  <si>
    <t>KE312</t>
  </si>
  <si>
    <t>KAC211</t>
  </si>
  <si>
    <t>K531</t>
  </si>
  <si>
    <t>KE313</t>
  </si>
  <si>
    <t>K861</t>
  </si>
  <si>
    <t>K814</t>
  </si>
  <si>
    <t>K860</t>
  </si>
  <si>
    <t>K840</t>
  </si>
  <si>
    <t>K833</t>
  </si>
  <si>
    <t>K851</t>
  </si>
  <si>
    <t>K835</t>
  </si>
  <si>
    <t>K8351</t>
  </si>
  <si>
    <t>K870</t>
  </si>
  <si>
    <t>KE82</t>
  </si>
  <si>
    <t>KE23</t>
  </si>
  <si>
    <t>KE22</t>
  </si>
  <si>
    <t>K532</t>
  </si>
  <si>
    <t>KE21</t>
  </si>
  <si>
    <t>LAMP</t>
  </si>
  <si>
    <t>12271100001474</t>
  </si>
  <si>
    <t>12671100000394</t>
  </si>
  <si>
    <t>12271100014305</t>
  </si>
  <si>
    <t>12271100014306</t>
  </si>
  <si>
    <t>12271100005023</t>
  </si>
  <si>
    <t>12271100005021</t>
  </si>
  <si>
    <t>17471100000108</t>
  </si>
  <si>
    <t>17471100004383</t>
  </si>
  <si>
    <t>17471100000145</t>
  </si>
  <si>
    <t>17471100002795</t>
  </si>
  <si>
    <t>17471100002796</t>
  </si>
  <si>
    <t>12971100001049</t>
  </si>
  <si>
    <t>12271100010545</t>
  </si>
  <si>
    <t>12271100005233</t>
  </si>
  <si>
    <t>12271100010547</t>
  </si>
  <si>
    <t>12971100000470</t>
  </si>
  <si>
    <t>12971100000534</t>
  </si>
  <si>
    <t>17171100005283</t>
  </si>
  <si>
    <t>12171100003423</t>
  </si>
  <si>
    <t>12271100010829</t>
  </si>
  <si>
    <t>12471100000049</t>
  </si>
  <si>
    <t>12271100002151</t>
  </si>
  <si>
    <t>12971100001067</t>
  </si>
  <si>
    <t>17471100001480</t>
  </si>
  <si>
    <t>17471100000574</t>
  </si>
  <si>
    <t>12971100000563</t>
  </si>
  <si>
    <t>12971100000500</t>
  </si>
  <si>
    <t>17471100002113</t>
  </si>
  <si>
    <t>17471100007570</t>
  </si>
  <si>
    <t>12271100005013</t>
  </si>
  <si>
    <t>12471100000008</t>
  </si>
  <si>
    <t>12271100010565</t>
  </si>
  <si>
    <t>12671100000013</t>
  </si>
  <si>
    <t>12171100000172</t>
  </si>
  <si>
    <t>12971100020574</t>
  </si>
  <si>
    <t>12971100014907</t>
  </si>
  <si>
    <t>12571100003412</t>
  </si>
  <si>
    <t>12171100005039</t>
  </si>
  <si>
    <t>12171100001415</t>
  </si>
  <si>
    <t>12171100001414</t>
  </si>
  <si>
    <t>12671100000096</t>
  </si>
  <si>
    <t>12271100000501</t>
  </si>
  <si>
    <t>12171100001594</t>
  </si>
  <si>
    <t>17471100000312</t>
  </si>
  <si>
    <t>17471100001673</t>
  </si>
  <si>
    <t>17471100000213</t>
  </si>
  <si>
    <t>17471100007114</t>
  </si>
  <si>
    <t>AMBO708VMX</t>
  </si>
  <si>
    <t>17166000016547</t>
  </si>
  <si>
    <t>17166000016537</t>
  </si>
  <si>
    <t>12571100A23818 + 12571100A30181</t>
  </si>
  <si>
    <t>ORDER 2023.4</t>
  </si>
  <si>
    <t>12971100017757</t>
  </si>
  <si>
    <t>12966200000332</t>
  </si>
  <si>
    <t>12366200004000</t>
  </si>
  <si>
    <t>Pan Support Assembly 60G40ME402-SFT_00-03</t>
  </si>
  <si>
    <t xml:space="preserve">Pan Support Assembly 60G40ME402-SFT_00-04 </t>
  </si>
  <si>
    <t>semigriglia supporto pentole (sinistra)</t>
  </si>
  <si>
    <t>semigriglia supporto pentole (destra)</t>
  </si>
  <si>
    <t>Price USD</t>
  </si>
  <si>
    <t>12366200005683</t>
  </si>
  <si>
    <t>12366200005676</t>
  </si>
  <si>
    <t>12366200005685</t>
  </si>
  <si>
    <t>12971100001429</t>
  </si>
  <si>
    <t>12971100001430</t>
  </si>
  <si>
    <t>12971100001440</t>
  </si>
  <si>
    <t>12971100001422</t>
  </si>
  <si>
    <t>65M80M1(B2)</t>
  </si>
  <si>
    <t>ALT code</t>
  </si>
  <si>
    <t>261508200600</t>
  </si>
  <si>
    <t>5211810491</t>
  </si>
  <si>
    <t>ORDER 2023.5</t>
  </si>
  <si>
    <t>TRHU3008365</t>
  </si>
  <si>
    <t>CSNU7564569</t>
  </si>
  <si>
    <t>TEMU7662637</t>
  </si>
  <si>
    <t>CSNU6049440</t>
  </si>
  <si>
    <t>TFBIFEV60X</t>
  </si>
  <si>
    <t>OMHN70V8</t>
  </si>
  <si>
    <t>F70VXSM</t>
  </si>
  <si>
    <t>SMF70VX</t>
  </si>
  <si>
    <t>65M80M1(B0)</t>
  </si>
  <si>
    <t>TECHLIFE</t>
  </si>
  <si>
    <t>SMARTWAY</t>
  </si>
  <si>
    <t>SEKOM</t>
  </si>
  <si>
    <t>12171100002394</t>
  </si>
  <si>
    <t>旋钮组件(塑料件)</t>
  </si>
  <si>
    <t>12571100A23818 + 12571100A31305</t>
  </si>
  <si>
    <t>Door Assembly</t>
  </si>
  <si>
    <t>12571100A31305</t>
  </si>
  <si>
    <t>Door Outer Glass Drop Glue Assembly</t>
  </si>
  <si>
    <t>炉门外窗滴胶组件</t>
  </si>
  <si>
    <t>12271100A35319</t>
  </si>
  <si>
    <t>Control Panel Decoration</t>
  </si>
  <si>
    <t>客版控制面板壳丝印</t>
  </si>
  <si>
    <t>17471100002434</t>
  </si>
  <si>
    <t>Timer</t>
  </si>
  <si>
    <t>G22</t>
  </si>
  <si>
    <t>17471100003803</t>
  </si>
  <si>
    <t>KG509</t>
  </si>
  <si>
    <t>12571100A23818</t>
  </si>
  <si>
    <t>12571100A31356</t>
  </si>
  <si>
    <t>12271100A35355</t>
  </si>
  <si>
    <t>12571100A31324</t>
  </si>
  <si>
    <t>12271100A35337</t>
  </si>
  <si>
    <t>12971100021898</t>
  </si>
  <si>
    <t>旋钮组件(金属件)</t>
  </si>
  <si>
    <t>12571100A23827</t>
  </si>
  <si>
    <t>12971100000997</t>
  </si>
  <si>
    <t>Door Handle</t>
  </si>
  <si>
    <t>12571100A31492</t>
  </si>
  <si>
    <t>ORDER 2024.1</t>
  </si>
  <si>
    <t>TFBIPCI30</t>
  </si>
  <si>
    <t>TFBIPCI60</t>
  </si>
  <si>
    <t>MC-IF7454AJ1-AE2</t>
  </si>
  <si>
    <t>Glass Plate Bracket Assembly (Techlife)</t>
  </si>
  <si>
    <t>Piano in vetro ceramico (Techlife)</t>
  </si>
  <si>
    <t>Glass Assembly (Techlife)</t>
  </si>
  <si>
    <t>DAYA</t>
  </si>
  <si>
    <t>DPC754I</t>
  </si>
  <si>
    <t>Glass Assembly (Daya)</t>
  </si>
  <si>
    <t>Piano in vetro ceramico (Daya)</t>
  </si>
  <si>
    <t>MSPI301F</t>
  </si>
  <si>
    <t>MSPI60</t>
  </si>
  <si>
    <t>IHES4S61</t>
  </si>
  <si>
    <t>MZIHA6041</t>
  </si>
  <si>
    <t>12966000A15029</t>
  </si>
  <si>
    <t>12966000A14898</t>
  </si>
  <si>
    <t>12966000A14918</t>
  </si>
  <si>
    <t>70+50</t>
  </si>
  <si>
    <t>TFBIPCG60L</t>
  </si>
  <si>
    <t>TFBIPCG60FGG</t>
  </si>
  <si>
    <t>TFBIPCG75FGG</t>
  </si>
  <si>
    <t>GHHNM604L3</t>
  </si>
  <si>
    <t>GHHNM604F3</t>
  </si>
  <si>
    <t>GHHNM604F3G</t>
  </si>
  <si>
    <t>GHHNM755F3</t>
  </si>
  <si>
    <t>GHHNM755F3G</t>
  </si>
  <si>
    <t>GHHNM905F3G</t>
  </si>
  <si>
    <t>PG60LSM</t>
  </si>
  <si>
    <t>PG60FRSM</t>
  </si>
  <si>
    <t>PG75SM</t>
  </si>
  <si>
    <t>SMPG60L</t>
  </si>
  <si>
    <t>SMPG60FR</t>
  </si>
  <si>
    <t>SMPG75</t>
  </si>
  <si>
    <t>60SJ402_MTD53</t>
  </si>
  <si>
    <t>75SQ005_MTD78</t>
  </si>
  <si>
    <t>75SQ005_MTE18</t>
  </si>
  <si>
    <t>75SQ005_MTD24</t>
  </si>
  <si>
    <t>90SQ005_MTD26</t>
  </si>
  <si>
    <t>17466200A00301</t>
  </si>
  <si>
    <t>12366200012538</t>
  </si>
  <si>
    <t>12366200012537</t>
  </si>
  <si>
    <t>12366200012521</t>
  </si>
  <si>
    <t>12966200000041</t>
  </si>
  <si>
    <t>12366200003595</t>
  </si>
  <si>
    <t>semigriglia supporto pentole (destra e sinistra)</t>
  </si>
  <si>
    <t>12366200012517</t>
  </si>
  <si>
    <t>12366200012539</t>
  </si>
  <si>
    <t>12366200012536</t>
  </si>
  <si>
    <t>Elbow</t>
  </si>
  <si>
    <t>弯头</t>
  </si>
  <si>
    <t>12966200006156</t>
  </si>
  <si>
    <t>pannello del piano cottura</t>
  </si>
  <si>
    <t>12266200A18350</t>
  </si>
  <si>
    <t>Stainless Steel Panel</t>
  </si>
  <si>
    <t>客版不锈钢面板丝印</t>
  </si>
  <si>
    <t>12366200A00637</t>
  </si>
  <si>
    <t>12366200A00636</t>
  </si>
  <si>
    <t>12366200A00635</t>
  </si>
  <si>
    <t>semigriglia supporto pentole (centrale)</t>
  </si>
  <si>
    <t>12971100010123</t>
  </si>
  <si>
    <t>corona del bruciatpre grande</t>
  </si>
  <si>
    <t>copri-corona del bruciatore grande</t>
  </si>
  <si>
    <t>12971100017762</t>
  </si>
  <si>
    <t>12966200004212</t>
  </si>
  <si>
    <t>12966200001388</t>
  </si>
  <si>
    <t>12966200001387</t>
  </si>
  <si>
    <t>tubo anteriore destro (fuoco medio)</t>
  </si>
  <si>
    <t>tubo posteriore destro (fuoco medio)</t>
  </si>
  <si>
    <t>12966200A00109</t>
  </si>
  <si>
    <t>tubo centrale (fuoco TRIPLO)</t>
  </si>
  <si>
    <t>12966200001385</t>
  </si>
  <si>
    <t>tubo posteriore sinistro (fuoco grande)</t>
  </si>
  <si>
    <t>12966200001381</t>
  </si>
  <si>
    <t>tubo anteriore sinistro (fuoco piccolo)</t>
  </si>
  <si>
    <t>34+35</t>
  </si>
  <si>
    <t>tubo posteriore destro e sinistro</t>
  </si>
  <si>
    <t>12366200012524</t>
  </si>
  <si>
    <t>valvole gas piano cottura fuoco grande</t>
  </si>
  <si>
    <t>17466200A00322</t>
  </si>
  <si>
    <t>17466200001063</t>
  </si>
  <si>
    <t>44.2</t>
  </si>
  <si>
    <t>CK;CORPO BRUCIATORE GRANDE</t>
  </si>
  <si>
    <t>12966200003185</t>
  </si>
  <si>
    <t>12966200003181</t>
  </si>
  <si>
    <t>iniettore metano grande</t>
  </si>
  <si>
    <t>iniettore GPL grande</t>
  </si>
  <si>
    <t>12266200A18365</t>
  </si>
  <si>
    <t>12266200A18349</t>
  </si>
  <si>
    <t>12366200008981</t>
  </si>
  <si>
    <t>12366200008978</t>
  </si>
  <si>
    <t>12366200008980</t>
  </si>
  <si>
    <t>12266200A18348</t>
  </si>
  <si>
    <t>12266200A18525</t>
  </si>
  <si>
    <t>12166200000980</t>
  </si>
  <si>
    <t>12266200A18445</t>
  </si>
  <si>
    <t>12266200A18306</t>
  </si>
  <si>
    <t>12266200A18325</t>
  </si>
  <si>
    <t>12266200A18307</t>
  </si>
  <si>
    <t>12366200007959</t>
  </si>
  <si>
    <t>12366200007956</t>
  </si>
  <si>
    <t>12366200007960</t>
  </si>
  <si>
    <t>12366200000595</t>
  </si>
  <si>
    <t>12366200000624</t>
  </si>
  <si>
    <t>12366200000596</t>
  </si>
  <si>
    <t>12966200000020</t>
  </si>
  <si>
    <t>12966200000316</t>
  </si>
  <si>
    <t>12971100001258</t>
  </si>
  <si>
    <t>CK;CANDELETTA FUOCO TRIPLO</t>
  </si>
  <si>
    <t>12966200000323</t>
  </si>
  <si>
    <t>CK;CANDELETTA FUOCHI LONTANI</t>
  </si>
  <si>
    <t>12971100010133</t>
  </si>
  <si>
    <t>12966200A00593</t>
  </si>
  <si>
    <t>12966200000109</t>
  </si>
  <si>
    <t>12966200000113</t>
  </si>
  <si>
    <t>12966200000110</t>
  </si>
  <si>
    <t>12966200000104</t>
  </si>
  <si>
    <t>29</t>
  </si>
  <si>
    <t>32</t>
  </si>
  <si>
    <t>CRPI400FLEXY</t>
  </si>
  <si>
    <t>CRANKER</t>
  </si>
  <si>
    <t>MC-IF7455J1CCAE2</t>
  </si>
  <si>
    <t>IHES4TS6F1</t>
  </si>
  <si>
    <t>12966000A15170</t>
  </si>
  <si>
    <t>Glass Plate Bracket Assembly (Smartway)</t>
  </si>
  <si>
    <t>Piano in vetro ceramico (Smartway)</t>
  </si>
  <si>
    <t>MZIHA6041F</t>
  </si>
  <si>
    <t>12266200A18446</t>
  </si>
  <si>
    <t>Piano in vetro ceramico (Cranker)</t>
  </si>
  <si>
    <t>Glass Assembly (Cranker)</t>
  </si>
  <si>
    <t>12966000A15164</t>
    <phoneticPr fontId="0" type="noConversion"/>
  </si>
  <si>
    <t>玻璃板组件</t>
    <phoneticPr fontId="0" type="noConversion"/>
  </si>
  <si>
    <t xml:space="preserve">Glass Assembly </t>
    <phoneticPr fontId="0" type="noConversion"/>
  </si>
  <si>
    <t>12966000A15289</t>
  </si>
  <si>
    <t>玻璃板支架组件</t>
    <phoneticPr fontId="0" type="noConversion"/>
  </si>
  <si>
    <t>Glass Assembly</t>
    <phoneticPr fontId="0" type="noConversion"/>
  </si>
  <si>
    <t>12966000A15171</t>
    <phoneticPr fontId="0" type="noConversion"/>
  </si>
  <si>
    <t>12966000A15290</t>
  </si>
  <si>
    <t>玻璃板组件</t>
    <phoneticPr fontId="0" type="noConversion"/>
  </si>
  <si>
    <t>ELE-b</t>
  </si>
  <si>
    <t>ORDER 2024.3</t>
  </si>
  <si>
    <t>12266200A18366</t>
  </si>
  <si>
    <t>12266200A18351</t>
  </si>
  <si>
    <t>12266200A18305</t>
  </si>
  <si>
    <t>MZBO708VX</t>
  </si>
  <si>
    <t>Glass Assembly</t>
  </si>
  <si>
    <t>12966000A15475</t>
  </si>
  <si>
    <t>12966000A15476</t>
  </si>
  <si>
    <t>ORDER PO 2024.4 (M&amp;C Srl)</t>
  </si>
  <si>
    <t>ORDER PO 2024.2 (PLANET)</t>
  </si>
  <si>
    <t>CK;GRIGLIA SUPPORTO PENTOLE sinistra</t>
  </si>
  <si>
    <t>12366200000476</t>
  </si>
  <si>
    <t>CK;GRIGLIA SUPPORTO PENTOLE destra</t>
  </si>
  <si>
    <t>CAAU5573832</t>
  </si>
  <si>
    <t>FBIU5266202</t>
  </si>
  <si>
    <t>IHES590F</t>
  </si>
  <si>
    <t>MC-IV10241B2CC-A</t>
  </si>
  <si>
    <t>12966000A16001</t>
  </si>
  <si>
    <t>17466000001034</t>
  </si>
  <si>
    <t>17466000000118</t>
  </si>
  <si>
    <t>17466000000079</t>
  </si>
  <si>
    <t>12266000001109</t>
  </si>
  <si>
    <t>17166000008282</t>
  </si>
  <si>
    <t>12766000000313</t>
  </si>
  <si>
    <t>12766000000171</t>
  </si>
  <si>
    <t>17466000000047</t>
  </si>
  <si>
    <t>17400801009104</t>
  </si>
  <si>
    <t>17166000016551</t>
  </si>
  <si>
    <t>17166000016559</t>
  </si>
  <si>
    <t>12766000000312</t>
  </si>
  <si>
    <t>12766000000311</t>
  </si>
  <si>
    <t>17166000004422</t>
  </si>
  <si>
    <t>17166000008602</t>
  </si>
  <si>
    <t>17466000002893</t>
  </si>
  <si>
    <t>12166000003957</t>
  </si>
  <si>
    <t>12166000000046</t>
  </si>
  <si>
    <t>12966000000014</t>
  </si>
  <si>
    <t>12166000003958</t>
  </si>
  <si>
    <t>Glass Plate Bracket Assembly</t>
  </si>
  <si>
    <t>Temperature Sensing Assembly</t>
  </si>
  <si>
    <t>Support Aluminum Plate</t>
  </si>
  <si>
    <t>Display Board</t>
  </si>
  <si>
    <t>Display Board Mica Sheet</t>
  </si>
  <si>
    <t>Ventilation motor subassembly</t>
  </si>
  <si>
    <t>Main Board Mica Sheet</t>
  </si>
  <si>
    <t>Power Board</t>
  </si>
  <si>
    <t>Power Panel</t>
  </si>
  <si>
    <t>Bobina magnetica 1800 W</t>
  </si>
  <si>
    <t>Bobina magnetica 2200 W</t>
  </si>
  <si>
    <t>Motore ventilazione</t>
  </si>
  <si>
    <t>Scheda di controllo principale (centrale)</t>
  </si>
  <si>
    <t>Scheda di controllo principale (laterale)</t>
  </si>
  <si>
    <t>Scheda di alimentazione (centrale)</t>
  </si>
  <si>
    <t>Scheda di alimentazione (destra)</t>
  </si>
  <si>
    <t>ORDER PO 2024.5 (M&amp;C Srl)</t>
  </si>
  <si>
    <t>GHEM60L43</t>
  </si>
  <si>
    <t>GHEM60F43</t>
  </si>
  <si>
    <t>GHEM75F53S</t>
  </si>
  <si>
    <t>GHEM86F53G</t>
  </si>
  <si>
    <t>75SP005_MTE18-1</t>
  </si>
  <si>
    <t>12266200A19205</t>
  </si>
  <si>
    <t>12966200A01292</t>
  </si>
  <si>
    <t>12266200A19186</t>
  </si>
  <si>
    <t>12966200A01296</t>
  </si>
  <si>
    <t>1.1</t>
  </si>
  <si>
    <t>1.2</t>
  </si>
  <si>
    <t>1.3</t>
  </si>
  <si>
    <t>12366200008983</t>
  </si>
  <si>
    <t>12366200008982</t>
  </si>
  <si>
    <t>12366200008979</t>
  </si>
  <si>
    <t>12966200002483</t>
  </si>
  <si>
    <t>12966200002481</t>
  </si>
  <si>
    <t>12966200A00108</t>
  </si>
  <si>
    <t>22.3</t>
  </si>
  <si>
    <t>22.4</t>
  </si>
  <si>
    <t>22.5</t>
  </si>
  <si>
    <t>tubo posteriore centrale</t>
  </si>
  <si>
    <t>tubo anteriore centrale</t>
  </si>
  <si>
    <t>tubo gas fuoco TRIPLO</t>
  </si>
  <si>
    <t>12971100001292</t>
  </si>
  <si>
    <t>12266200A19185</t>
  </si>
  <si>
    <t>12466200000005</t>
  </si>
  <si>
    <t>Sponge</t>
  </si>
  <si>
    <t>海绵条</t>
  </si>
  <si>
    <t>mastice</t>
  </si>
  <si>
    <t>12266200A19206</t>
  </si>
  <si>
    <t>ORDER 2024.6</t>
  </si>
  <si>
    <t>LCL PLANET (SEGU5314472)</t>
  </si>
  <si>
    <t>LCL M&amp;C (SEGU5314472)</t>
  </si>
  <si>
    <t>MEOB70V8</t>
  </si>
  <si>
    <t>MEOB70V9PF</t>
  </si>
  <si>
    <t>N5P90E6(K0)</t>
  </si>
  <si>
    <t>Nameplate</t>
  </si>
  <si>
    <t>Control Panel Assembly</t>
  </si>
  <si>
    <t>17471100000417</t>
  </si>
  <si>
    <t>17471100000162</t>
  </si>
  <si>
    <t>16071100A59644</t>
  </si>
  <si>
    <t>12971100A92266</t>
  </si>
  <si>
    <t>12571100A32541</t>
  </si>
  <si>
    <t>1.29</t>
  </si>
  <si>
    <t>1.72</t>
  </si>
  <si>
    <t>1.76</t>
  </si>
  <si>
    <t>1.77</t>
  </si>
  <si>
    <t>客版铭牌</t>
  </si>
  <si>
    <t>spina con cavo di alimentazione</t>
  </si>
  <si>
    <t>logo Electroline</t>
  </si>
  <si>
    <t>1.6</t>
  </si>
  <si>
    <t>1.10</t>
  </si>
  <si>
    <t>1.23</t>
  </si>
  <si>
    <t>1.66</t>
  </si>
  <si>
    <t>1.86</t>
  </si>
  <si>
    <t>17471100000261</t>
  </si>
  <si>
    <t>12271100007425</t>
  </si>
  <si>
    <t>17471100002793</t>
  </si>
  <si>
    <t>12971100024534</t>
  </si>
  <si>
    <t>17471100002273</t>
  </si>
  <si>
    <t>12971100A70058</t>
  </si>
  <si>
    <t>12971100002591</t>
  </si>
  <si>
    <t>17471100000536</t>
  </si>
  <si>
    <t>17471100001474</t>
  </si>
  <si>
    <t>17471100003482</t>
  </si>
  <si>
    <t>17171100000025</t>
  </si>
  <si>
    <t>17171100003404</t>
  </si>
  <si>
    <t>17471100000166</t>
  </si>
  <si>
    <t>17471100000389</t>
  </si>
  <si>
    <t>12271100003074</t>
  </si>
  <si>
    <t>12971100A91712</t>
  </si>
  <si>
    <t>16071100A59665</t>
  </si>
  <si>
    <t>12971100A92382</t>
  </si>
  <si>
    <t>12971100A92383</t>
  </si>
  <si>
    <t>Metal Heater</t>
  </si>
  <si>
    <t>Front Plate</t>
  </si>
  <si>
    <t>Thermostat</t>
  </si>
  <si>
    <t>Cooking Basket</t>
  </si>
  <si>
    <t>Rail Bracket Assembly</t>
  </si>
  <si>
    <t>Door Lock</t>
  </si>
  <si>
    <t>Sensor Assembly</t>
  </si>
  <si>
    <t>Grill Tray</t>
  </si>
  <si>
    <t>Control Panel Drop Glue Assembly</t>
  </si>
  <si>
    <t>金属发热管</t>
  </si>
  <si>
    <t>突跳式温控器</t>
  </si>
  <si>
    <t>烤篮</t>
  </si>
  <si>
    <t>导轨支架右及2层右半拉出滑轨组件</t>
  </si>
  <si>
    <t>门锁</t>
  </si>
  <si>
    <t>传感器组件</t>
  </si>
  <si>
    <t>烤盘</t>
  </si>
  <si>
    <t>控制面板滴胶组件</t>
  </si>
  <si>
    <t>gruppo resistenza posteriore</t>
  </si>
  <si>
    <t>Termostato bimetallico</t>
  </si>
  <si>
    <t>12971100002585</t>
  </si>
  <si>
    <t>导轨支架左及2层左半拉出滑轨组件</t>
  </si>
  <si>
    <t>KE203</t>
  </si>
  <si>
    <t>blocco porta</t>
  </si>
  <si>
    <t>KE120</t>
  </si>
  <si>
    <t>sonda termostato</t>
  </si>
  <si>
    <t>12571100A23818 + 12571100A32541</t>
  </si>
  <si>
    <t>Control Panel</t>
  </si>
  <si>
    <t>客版控制面板丝印</t>
  </si>
  <si>
    <t>12271100A36113</t>
  </si>
  <si>
    <t>12271100000498</t>
  </si>
  <si>
    <t>Control Panel Holder</t>
  </si>
  <si>
    <t>Supporto del pannello di controllo</t>
  </si>
  <si>
    <t>12671100001134</t>
  </si>
  <si>
    <t>Sealing Ring</t>
  </si>
  <si>
    <t>密封圈</t>
  </si>
  <si>
    <t>12971100020572</t>
  </si>
  <si>
    <t>Door Hinge Assembly</t>
  </si>
  <si>
    <t>12171100000788</t>
  </si>
  <si>
    <t>12571100001931</t>
  </si>
  <si>
    <t>Glass Door Screen</t>
  </si>
  <si>
    <t>美的版玻璃门窗丝印</t>
  </si>
  <si>
    <t>12171100001197</t>
  </si>
  <si>
    <t>Other Plastic Parts</t>
  </si>
  <si>
    <t>其他塑料件</t>
  </si>
  <si>
    <t>Door Middle Glass</t>
  </si>
  <si>
    <t>门中窗玻璃</t>
  </si>
  <si>
    <t>12571100000359</t>
  </si>
  <si>
    <t>12571100000360</t>
  </si>
  <si>
    <t>B28-2</t>
  </si>
  <si>
    <t>B28-1</t>
  </si>
  <si>
    <t>Vetro intermedio porta 1</t>
  </si>
  <si>
    <t>Vetro intermedio porta 2</t>
  </si>
  <si>
    <t>17171100004713</t>
  </si>
  <si>
    <t>H01</t>
  </si>
  <si>
    <t>Display Circuit Board</t>
  </si>
  <si>
    <t>Display elettronico</t>
  </si>
  <si>
    <t>12271100002160</t>
  </si>
  <si>
    <t>12271100007225</t>
  </si>
  <si>
    <t>Convection Motor Cover</t>
  </si>
  <si>
    <t>Cover protezione ventola posteriore</t>
  </si>
  <si>
    <t>A62</t>
  </si>
  <si>
    <t>G21</t>
  </si>
  <si>
    <t>G14</t>
  </si>
  <si>
    <t>G20</t>
  </si>
  <si>
    <t>H02</t>
  </si>
  <si>
    <t>C00B</t>
  </si>
  <si>
    <t>B00C</t>
  </si>
  <si>
    <t>ORDER 2024.7</t>
  </si>
  <si>
    <t>65M40M1</t>
  </si>
  <si>
    <t>DMFI4GT70A</t>
  </si>
  <si>
    <t>12971100A75003</t>
  </si>
  <si>
    <t>17471100000575</t>
  </si>
  <si>
    <t>17471100000156</t>
  </si>
  <si>
    <t>17471100003804</t>
  </si>
  <si>
    <t>17171100002763</t>
  </si>
  <si>
    <t>12971100A92001</t>
  </si>
  <si>
    <t>12271100A21139</t>
  </si>
  <si>
    <t>美的版控制板贴片丝印</t>
  </si>
  <si>
    <t>17471100007113</t>
  </si>
  <si>
    <t>Switch On-Off</t>
  </si>
  <si>
    <t>12571100A28280+12571100A32398</t>
  </si>
  <si>
    <t>12171100000156</t>
  </si>
  <si>
    <t>门拉手(部装)</t>
  </si>
  <si>
    <t>12571100A32398</t>
  </si>
  <si>
    <t>ORDER 2024.8</t>
  </si>
  <si>
    <t>BL HHSE4116170YA</t>
  </si>
  <si>
    <t>BL SGL24111411</t>
  </si>
  <si>
    <t>BL SGL24123246</t>
  </si>
  <si>
    <t>AMIH604F1</t>
  </si>
  <si>
    <t>Screw And Washer</t>
  </si>
  <si>
    <t>11300915000651</t>
  </si>
  <si>
    <t>Viti e rondelle</t>
  </si>
  <si>
    <t>12966000A16520</t>
  </si>
  <si>
    <t>ORDER PO 2025.1 (M&amp;C Srl)</t>
  </si>
  <si>
    <t>BL CCFGZGOA2502585</t>
  </si>
  <si>
    <t>BL SGL25030856</t>
  </si>
  <si>
    <r>
      <rPr>
        <b/>
        <sz val="10"/>
        <color rgb="FF0000FF"/>
        <rFont val="Arial"/>
        <family val="2"/>
      </rPr>
      <t>1+</t>
    </r>
    <r>
      <rPr>
        <b/>
        <sz val="10"/>
        <color rgb="FFFF0000"/>
        <rFont val="Arial"/>
        <family val="2"/>
      </rPr>
      <t>1</t>
    </r>
  </si>
  <si>
    <t>12666000000933</t>
  </si>
  <si>
    <t>Gasket</t>
  </si>
  <si>
    <t>Guarnizione piano</t>
  </si>
  <si>
    <t>10+17</t>
  </si>
  <si>
    <t>AMGH60F43G</t>
  </si>
  <si>
    <t>AMGH75F53G</t>
  </si>
  <si>
    <t>GHHNM302F2</t>
  </si>
  <si>
    <t>GHHNM755F3GSX</t>
  </si>
  <si>
    <t>30SB005_MNE24</t>
  </si>
  <si>
    <t>75SP005_MTD24-1</t>
  </si>
  <si>
    <t>12366200007958</t>
  </si>
  <si>
    <t>12366200007957</t>
  </si>
  <si>
    <t>12366200013727</t>
  </si>
  <si>
    <t>12366200013717</t>
  </si>
  <si>
    <t>13+G30</t>
  </si>
  <si>
    <t>12966200000324</t>
  </si>
  <si>
    <t>20</t>
  </si>
  <si>
    <t>12966200006913</t>
  </si>
  <si>
    <t>12666200000019</t>
  </si>
  <si>
    <t>39</t>
  </si>
  <si>
    <t>12266200A09767</t>
  </si>
  <si>
    <t>40</t>
  </si>
  <si>
    <t>12366200013718</t>
  </si>
  <si>
    <t>Wire Clip</t>
  </si>
  <si>
    <t>线卡</t>
  </si>
  <si>
    <t>Price EUR (2025)</t>
  </si>
  <si>
    <t>12366200000007</t>
  </si>
  <si>
    <t>12266200000514</t>
  </si>
  <si>
    <t>12666200000032</t>
  </si>
  <si>
    <t>13</t>
  </si>
  <si>
    <t>12966200A01291</t>
  </si>
  <si>
    <t>17466200A00321</t>
  </si>
  <si>
    <t>19</t>
  </si>
  <si>
    <t>17466200001065</t>
  </si>
  <si>
    <t>17466200001102</t>
  </si>
  <si>
    <t>23</t>
  </si>
  <si>
    <t>12966200001846</t>
  </si>
  <si>
    <t>24</t>
  </si>
  <si>
    <t>12966200000094</t>
  </si>
  <si>
    <t>27+G30</t>
  </si>
  <si>
    <t>12966200003184</t>
  </si>
  <si>
    <t>27+G20</t>
  </si>
  <si>
    <t>12966200000405</t>
  </si>
  <si>
    <t>4</t>
  </si>
  <si>
    <t>12266200A18645</t>
  </si>
  <si>
    <t>12266200A20645</t>
  </si>
  <si>
    <t>tot. Waiting</t>
  </si>
  <si>
    <t>In arrivo</t>
  </si>
  <si>
    <t>waiting ORDER 2023.5</t>
  </si>
  <si>
    <t>waiting ORDER 2024.3</t>
  </si>
  <si>
    <t>waiting ORDER 2024.6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</si>
</sst>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[$$-409]* #,##0.00_ ;_-[$$-409]* \-#,##0.00\ ;_-[$$-409]* &quot;-&quot;??_ ;_-@_ "/>
    <numFmt numFmtId="166" formatCode="0.00;[Red]0.00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0" tint="-0.499984740745262"/>
      <name val="Arial"/>
      <family val="2"/>
    </font>
    <font>
      <sz val="10"/>
      <color theme="9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1"/>
      <color rgb="FF000099"/>
      <name val="Calibri"/>
      <family val="2"/>
      <scheme val="minor"/>
    </font>
    <font>
      <b/>
      <sz val="11"/>
      <color rgb="FF9900CC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99"/>
      <name val="Arial"/>
      <family val="2"/>
    </font>
    <font>
      <sz val="10"/>
      <color rgb="FF000099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theme="0" tint="-0.499984740745262"/>
      <name val="Arial"/>
      <family val="2"/>
    </font>
    <font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4" fillId="0" borderId="0">
      <alignment vertical="center"/>
    </xf>
    <xf numFmtId="0" fontId="31" fillId="0" borderId="0"/>
  </cellStyleXfs>
  <cellXfs count="22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top" wrapText="1"/>
    </xf>
    <xf numFmtId="165" fontId="13" fillId="0" borderId="1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6" fontId="18" fillId="2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49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" fontId="0" fillId="7" borderId="3" xfId="0" applyNumberForma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3" xfId="0" quotePrefix="1" applyBorder="1" applyAlignment="1">
      <alignment vertical="center" wrapText="1"/>
    </xf>
    <xf numFmtId="0" fontId="7" fillId="7" borderId="3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0" fillId="3" borderId="3" xfId="0" quotePrefix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left" vertical="center"/>
    </xf>
    <xf numFmtId="2" fontId="6" fillId="3" borderId="3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/>
    </xf>
    <xf numFmtId="0" fontId="11" fillId="7" borderId="7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25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15" fillId="11" borderId="1" xfId="0" applyFont="1" applyFill="1" applyBorder="1" applyAlignment="1">
      <alignment horizontal="center" vertical="top" wrapText="1"/>
    </xf>
    <xf numFmtId="0" fontId="26" fillId="12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10" borderId="1" xfId="0" applyFont="1" applyFill="1" applyBorder="1" applyAlignment="1">
      <alignment horizontal="center" vertical="top" wrapText="1"/>
    </xf>
    <xf numFmtId="1" fontId="18" fillId="10" borderId="3" xfId="0" applyNumberFormat="1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49" fontId="0" fillId="14" borderId="4" xfId="0" applyNumberFormat="1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quotePrefix="1" applyFill="1" applyBorder="1" applyAlignment="1">
      <alignment vertical="center" wrapText="1"/>
    </xf>
    <xf numFmtId="0" fontId="18" fillId="0" borderId="3" xfId="0" applyFont="1" applyBorder="1" applyAlignment="1">
      <alignment horizontal="center"/>
    </xf>
    <xf numFmtId="0" fontId="0" fillId="8" borderId="3" xfId="0" quotePrefix="1" applyFill="1" applyBorder="1" applyAlignment="1">
      <alignment vertical="center" wrapText="1"/>
    </xf>
    <xf numFmtId="0" fontId="8" fillId="0" borderId="7" xfId="0" applyFont="1" applyBorder="1" applyAlignment="1">
      <alignment horizontal="center"/>
    </xf>
    <xf numFmtId="0" fontId="29" fillId="1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1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29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/>
    <xf numFmtId="0" fontId="25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15" borderId="4" xfId="0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49" fontId="0" fillId="15" borderId="4" xfId="0" applyNumberFormat="1" applyFill="1" applyBorder="1" applyAlignment="1">
      <alignment vertical="center" wrapText="1"/>
    </xf>
    <xf numFmtId="0" fontId="18" fillId="10" borderId="7" xfId="0" applyFont="1" applyFill="1" applyBorder="1" applyAlignment="1">
      <alignment horizontal="center"/>
    </xf>
    <xf numFmtId="1" fontId="0" fillId="0" borderId="8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/>
    </xf>
    <xf numFmtId="2" fontId="7" fillId="0" borderId="3" xfId="0" applyNumberFormat="1" applyFont="1" applyBorder="1" applyAlignment="1">
      <alignment horizontal="center" vertical="center" wrapText="1"/>
    </xf>
    <xf numFmtId="49" fontId="0" fillId="16" borderId="4" xfId="0" applyNumberFormat="1" applyFill="1" applyBorder="1" applyAlignment="1">
      <alignment vertical="center" wrapText="1"/>
    </xf>
    <xf numFmtId="1" fontId="0" fillId="7" borderId="0" xfId="0" applyNumberFormat="1" applyFill="1" applyAlignment="1">
      <alignment horizontal="center" vertical="center" wrapText="1"/>
    </xf>
    <xf numFmtId="1" fontId="0" fillId="7" borderId="4" xfId="0" applyNumberForma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49" fontId="0" fillId="17" borderId="4" xfId="0" applyNumberFormat="1" applyFill="1" applyBorder="1" applyAlignment="1">
      <alignment vertical="center" wrapText="1"/>
    </xf>
    <xf numFmtId="0" fontId="1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10" borderId="7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center"/>
    </xf>
    <xf numFmtId="2" fontId="6" fillId="18" borderId="3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66" fontId="18" fillId="2" borderId="9" xfId="0" applyNumberFormat="1" applyFont="1" applyFill="1" applyBorder="1" applyAlignment="1">
      <alignment horizontal="center" vertical="center" wrapText="1"/>
    </xf>
    <xf numFmtId="166" fontId="18" fillId="2" borderId="10" xfId="0" applyNumberFormat="1" applyFont="1" applyFill="1" applyBorder="1" applyAlignment="1">
      <alignment horizontal="center" vertical="center" wrapText="1"/>
    </xf>
    <xf numFmtId="166" fontId="18" fillId="2" borderId="8" xfId="0" applyNumberFormat="1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top" wrapText="1"/>
    </xf>
    <xf numFmtId="0" fontId="15" fillId="11" borderId="10" xfId="0" applyFont="1" applyFill="1" applyBorder="1" applyAlignment="1">
      <alignment horizontal="center" vertical="top" wrapText="1"/>
    </xf>
    <xf numFmtId="0" fontId="15" fillId="11" borderId="8" xfId="0" applyFont="1" applyFill="1" applyBorder="1" applyAlignment="1">
      <alignment horizontal="center" vertical="top" wrapText="1"/>
    </xf>
    <xf numFmtId="0" fontId="28" fillId="13" borderId="9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top" wrapText="1"/>
    </xf>
    <xf numFmtId="0" fontId="26" fillId="12" borderId="11" xfId="0" applyFont="1" applyFill="1" applyBorder="1" applyAlignment="1">
      <alignment horizontal="center" vertical="top" wrapText="1"/>
    </xf>
    <xf numFmtId="0" fontId="26" fillId="12" borderId="2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vertical="top" wrapText="1"/>
    </xf>
    <xf numFmtId="1" fontId="0" fillId="0" borderId="7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</cellXfs>
  <cellStyles count="3">
    <cellStyle name="Normale" xfId="0" builtinId="0"/>
    <cellStyle name="常规 3" xfId="1" xr:uid="{00000000-0005-0000-0000-000001000000}"/>
    <cellStyle name="常规_模版-新加坡-TT,OA" xfId="2" xr:uid="{690A5496-2B78-4C89-ACC4-C49C225B2868}"/>
  </cellStyles>
  <dxfs count="12"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</dxfs>
  <tableStyles count="0" defaultTableStyle="TableStyleMedium9" defaultPivotStyle="PivotStyleLight16"/>
  <colors>
    <mruColors>
      <color rgb="FFFFFFCC"/>
      <color rgb="FF0000FF"/>
      <color rgb="FF66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55</xdr:row>
      <xdr:rowOff>0</xdr:rowOff>
    </xdr:from>
    <xdr:to>
      <xdr:col>3</xdr:col>
      <xdr:colOff>304800</xdr:colOff>
      <xdr:row>55</xdr:row>
      <xdr:rowOff>187698</xdr:rowOff>
    </xdr:to>
    <xdr:sp macro="" textlink="">
      <xdr:nvSpPr>
        <xdr:cNvPr id="2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10077450"/>
          <a:ext cx="304800" cy="23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304800</xdr:colOff>
      <xdr:row>55</xdr:row>
      <xdr:rowOff>187698</xdr:rowOff>
    </xdr:to>
    <xdr:sp macro="" textlink="">
      <xdr:nvSpPr>
        <xdr:cNvPr id="3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10077450"/>
          <a:ext cx="304800" cy="23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304800</xdr:colOff>
      <xdr:row>55</xdr:row>
      <xdr:rowOff>187698</xdr:rowOff>
    </xdr:to>
    <xdr:sp macro="" textlink="">
      <xdr:nvSpPr>
        <xdr:cNvPr id="4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0535900" y="10077450"/>
          <a:ext cx="304800" cy="23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28</xdr:col>
      <xdr:colOff>0</xdr:colOff>
      <xdr:row>56</xdr:row>
      <xdr:rowOff>0</xdr:rowOff>
    </xdr:from>
    <xdr:to>
      <xdr:col>28</xdr:col>
      <xdr:colOff>304800</xdr:colOff>
      <xdr:row>56</xdr:row>
      <xdr:rowOff>187698</xdr:rowOff>
    </xdr:to>
    <xdr:sp macro="" textlink="">
      <xdr:nvSpPr>
        <xdr:cNvPr id="5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2960853" y="8292353"/>
          <a:ext cx="304800" cy="187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87</xdr:row>
      <xdr:rowOff>0</xdr:rowOff>
    </xdr:from>
    <xdr:to>
      <xdr:col>3</xdr:col>
      <xdr:colOff>304800</xdr:colOff>
      <xdr:row>88</xdr:row>
      <xdr:rowOff>0</xdr:rowOff>
    </xdr:to>
    <xdr:sp macro="" textlink="">
      <xdr:nvSpPr>
        <xdr:cNvPr id="3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020050" y="8324850"/>
          <a:ext cx="304800" cy="23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304800</xdr:colOff>
      <xdr:row>91</xdr:row>
      <xdr:rowOff>0</xdr:rowOff>
    </xdr:to>
    <xdr:sp macro="" textlink="">
      <xdr:nvSpPr>
        <xdr:cNvPr id="4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191000" y="940594"/>
          <a:ext cx="304800" cy="23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0</xdr:colOff>
      <xdr:row>101</xdr:row>
      <xdr:rowOff>0</xdr:rowOff>
    </xdr:from>
    <xdr:ext cx="304800" cy="480252"/>
    <xdr:sp macro="" textlink="">
      <xdr:nvSpPr>
        <xdr:cNvPr id="2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B29F05F7-0155-4138-94C9-9A4E75230DB4}"/>
            </a:ext>
          </a:extLst>
        </xdr:cNvPr>
        <xdr:cNvSpPr>
          <a:spLocks noChangeAspect="1" noChangeArrowheads="1"/>
        </xdr:cNvSpPr>
      </xdr:nvSpPr>
      <xdr:spPr bwMode="auto">
        <a:xfrm>
          <a:off x="4286250" y="18587357"/>
          <a:ext cx="304800" cy="4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102</xdr:row>
      <xdr:rowOff>0</xdr:rowOff>
    </xdr:from>
    <xdr:ext cx="304800" cy="480252"/>
    <xdr:sp macro="" textlink="">
      <xdr:nvSpPr>
        <xdr:cNvPr id="5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949494E5-E373-4C21-ADAF-4347EC3C0E05}"/>
            </a:ext>
          </a:extLst>
        </xdr:cNvPr>
        <xdr:cNvSpPr>
          <a:spLocks noChangeAspect="1" noChangeArrowheads="1"/>
        </xdr:cNvSpPr>
      </xdr:nvSpPr>
      <xdr:spPr bwMode="auto">
        <a:xfrm>
          <a:off x="4286250" y="18587357"/>
          <a:ext cx="304800" cy="4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103</xdr:row>
      <xdr:rowOff>0</xdr:rowOff>
    </xdr:from>
    <xdr:ext cx="304800" cy="480252"/>
    <xdr:sp macro="" textlink="">
      <xdr:nvSpPr>
        <xdr:cNvPr id="6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7F6D8E97-87D3-4E15-AC0F-0B1FAB2A8087}"/>
            </a:ext>
          </a:extLst>
        </xdr:cNvPr>
        <xdr:cNvSpPr>
          <a:spLocks noChangeAspect="1" noChangeArrowheads="1"/>
        </xdr:cNvSpPr>
      </xdr:nvSpPr>
      <xdr:spPr bwMode="auto">
        <a:xfrm>
          <a:off x="4286250" y="18587357"/>
          <a:ext cx="304800" cy="4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104</xdr:row>
      <xdr:rowOff>0</xdr:rowOff>
    </xdr:from>
    <xdr:ext cx="304800" cy="480252"/>
    <xdr:sp macro="" textlink="">
      <xdr:nvSpPr>
        <xdr:cNvPr id="7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69E631F8-5F65-4144-850F-4DB7780079E9}"/>
            </a:ext>
          </a:extLst>
        </xdr:cNvPr>
        <xdr:cNvSpPr>
          <a:spLocks noChangeAspect="1" noChangeArrowheads="1"/>
        </xdr:cNvSpPr>
      </xdr:nvSpPr>
      <xdr:spPr bwMode="auto">
        <a:xfrm>
          <a:off x="4286250" y="18587357"/>
          <a:ext cx="304800" cy="4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105</xdr:row>
      <xdr:rowOff>0</xdr:rowOff>
    </xdr:from>
    <xdr:ext cx="304800" cy="480252"/>
    <xdr:sp macro="" textlink="">
      <xdr:nvSpPr>
        <xdr:cNvPr id="8" name="AutoShape 6" descr="frev://C:/Users/ZHONGW~1/AppData/Local/Temp/83DB380FF13B3EEE0F10058046322622-mx-image.jpeg">
          <a:extLst>
            <a:ext uri="{FF2B5EF4-FFF2-40B4-BE49-F238E27FC236}">
              <a16:creationId xmlns:a16="http://schemas.microsoft.com/office/drawing/2014/main" id="{EDDD4E9F-2991-41D9-AEB5-F93B64EE7CB7}"/>
            </a:ext>
          </a:extLst>
        </xdr:cNvPr>
        <xdr:cNvSpPr>
          <a:spLocks noChangeAspect="1" noChangeArrowheads="1"/>
        </xdr:cNvSpPr>
      </xdr:nvSpPr>
      <xdr:spPr bwMode="auto">
        <a:xfrm>
          <a:off x="4286250" y="18587357"/>
          <a:ext cx="304800" cy="4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6"/>
  <sheetViews>
    <sheetView zoomScale="70" zoomScaleNormal="70" workbookViewId="0">
      <pane xSplit="5" ySplit="3" topLeftCell="Y4" activePane="bottomRight" state="frozenSplit"/>
      <selection activeCell="B1" sqref="B1"/>
      <selection pane="topRight" activeCell="F1" sqref="F1"/>
      <selection pane="bottomLeft" activeCell="A15" sqref="A15"/>
      <selection pane="bottomRight" activeCell="D19" sqref="D19"/>
    </sheetView>
  </sheetViews>
  <sheetFormatPr defaultRowHeight="16.5" customHeight="1" x14ac:dyDescent="0.3"/>
  <cols>
    <col min="2" max="2" width="41.109375" bestFit="1" customWidth="1"/>
    <col min="3" max="3" width="36.88671875" customWidth="1"/>
    <col min="4" max="4" width="14.5546875" customWidth="1"/>
    <col min="5" max="5" width="43" customWidth="1"/>
    <col min="6" max="28" width="18.109375" customWidth="1"/>
    <col min="29" max="30" width="11.88671875" customWidth="1"/>
    <col min="31" max="32" width="13" customWidth="1"/>
    <col min="33" max="33" width="15.33203125" style="81" customWidth="1"/>
    <col min="34" max="34" width="14.88671875" hidden="1" customWidth="1"/>
    <col min="35" max="35" width="16.109375" hidden="1" customWidth="1"/>
    <col min="36" max="37" width="15" style="80" customWidth="1"/>
    <col min="38" max="39" width="13.33203125" style="98" hidden="1" customWidth="1"/>
    <col min="40" max="40" width="15" style="80" customWidth="1"/>
    <col min="41" max="41" width="14.5546875" style="167" hidden="1" customWidth="1"/>
    <col min="42" max="42" width="15" style="80" customWidth="1"/>
    <col min="43" max="43" width="13.88671875" style="171" customWidth="1"/>
  </cols>
  <sheetData>
    <row r="1" spans="1:43" ht="16.5" customHeight="1" x14ac:dyDescent="0.3">
      <c r="C1" s="32"/>
      <c r="D1" s="33"/>
      <c r="E1" s="34"/>
      <c r="F1" s="35" t="s">
        <v>167</v>
      </c>
      <c r="G1" s="35" t="s">
        <v>168</v>
      </c>
      <c r="H1" s="35" t="s">
        <v>169</v>
      </c>
      <c r="I1" s="35" t="s">
        <v>169</v>
      </c>
      <c r="J1" s="35" t="s">
        <v>686</v>
      </c>
      <c r="K1" s="35" t="s">
        <v>686</v>
      </c>
      <c r="L1" s="35" t="s">
        <v>804</v>
      </c>
      <c r="M1" s="35" t="s">
        <v>324</v>
      </c>
      <c r="N1" s="35" t="s">
        <v>686</v>
      </c>
      <c r="O1" s="35" t="s">
        <v>167</v>
      </c>
      <c r="P1" s="35" t="s">
        <v>168</v>
      </c>
      <c r="Q1" s="35" t="s">
        <v>804</v>
      </c>
      <c r="R1" s="35" t="s">
        <v>686</v>
      </c>
      <c r="S1" s="35" t="s">
        <v>839</v>
      </c>
      <c r="T1" s="35" t="s">
        <v>169</v>
      </c>
      <c r="U1" s="35" t="s">
        <v>324</v>
      </c>
      <c r="V1" s="35" t="s">
        <v>686</v>
      </c>
      <c r="W1" s="35" t="s">
        <v>325</v>
      </c>
      <c r="X1" s="35" t="s">
        <v>167</v>
      </c>
      <c r="Y1" s="35" t="s">
        <v>168</v>
      </c>
      <c r="Z1" s="35" t="s">
        <v>686</v>
      </c>
      <c r="AA1" s="35" t="s">
        <v>804</v>
      </c>
      <c r="AB1" s="35" t="s">
        <v>169</v>
      </c>
      <c r="AC1" s="36"/>
      <c r="AD1" s="37"/>
      <c r="AE1" s="32"/>
    </row>
    <row r="2" spans="1:43" ht="16.5" customHeight="1" x14ac:dyDescent="0.3">
      <c r="C2" s="32"/>
      <c r="D2" s="33"/>
      <c r="E2" s="34"/>
      <c r="F2" s="185" t="s">
        <v>170</v>
      </c>
      <c r="G2" s="186"/>
      <c r="H2" s="187"/>
      <c r="I2" s="193" t="s">
        <v>654</v>
      </c>
      <c r="J2" s="193"/>
      <c r="K2" s="173" t="s">
        <v>690</v>
      </c>
      <c r="L2" s="172" t="s">
        <v>803</v>
      </c>
      <c r="M2" s="194" t="s">
        <v>655</v>
      </c>
      <c r="N2" s="195"/>
      <c r="O2" s="188" t="s">
        <v>171</v>
      </c>
      <c r="P2" s="188"/>
      <c r="Q2" s="188"/>
      <c r="R2" s="188"/>
      <c r="S2" s="188"/>
      <c r="T2" s="189"/>
      <c r="U2" s="193" t="s">
        <v>17</v>
      </c>
      <c r="V2" s="193"/>
      <c r="W2" s="193"/>
      <c r="X2" s="190" t="s">
        <v>172</v>
      </c>
      <c r="Y2" s="191"/>
      <c r="Z2" s="191"/>
      <c r="AA2" s="191"/>
      <c r="AB2" s="192"/>
      <c r="AC2" s="36"/>
      <c r="AD2" s="37"/>
      <c r="AE2" s="37">
        <f>SUBTOTAL(9,AE4:AE96)</f>
        <v>789</v>
      </c>
      <c r="AF2" s="35">
        <f t="shared" ref="AF2:AQ2" si="0">SUBTOTAL(9,AF4:AF96)</f>
        <v>1058</v>
      </c>
      <c r="AG2" s="120">
        <f t="shared" si="0"/>
        <v>226</v>
      </c>
      <c r="AH2" s="98">
        <f t="shared" si="0"/>
        <v>290</v>
      </c>
      <c r="AI2" s="98">
        <f t="shared" si="0"/>
        <v>6</v>
      </c>
      <c r="AJ2" s="120">
        <f t="shared" si="0"/>
        <v>405</v>
      </c>
      <c r="AK2" s="120">
        <f t="shared" si="0"/>
        <v>201</v>
      </c>
      <c r="AL2" s="98">
        <f t="shared" si="0"/>
        <v>201</v>
      </c>
      <c r="AM2" s="98">
        <f t="shared" si="0"/>
        <v>365</v>
      </c>
      <c r="AN2" s="120">
        <f t="shared" si="0"/>
        <v>228</v>
      </c>
      <c r="AO2" s="98">
        <f t="shared" si="0"/>
        <v>228</v>
      </c>
      <c r="AP2" s="80">
        <f t="shared" si="0"/>
        <v>221</v>
      </c>
      <c r="AQ2" s="120">
        <f t="shared" si="0"/>
        <v>211</v>
      </c>
    </row>
    <row r="3" spans="1:43" ht="52.5" customHeight="1" x14ac:dyDescent="0.3">
      <c r="A3" s="8" t="s">
        <v>2</v>
      </c>
      <c r="B3" s="8" t="s">
        <v>3</v>
      </c>
      <c r="C3" s="8" t="s">
        <v>4</v>
      </c>
      <c r="D3" s="9" t="s">
        <v>5</v>
      </c>
      <c r="E3" s="38" t="s">
        <v>8</v>
      </c>
      <c r="F3" s="39" t="s">
        <v>173</v>
      </c>
      <c r="G3" s="39" t="s">
        <v>174</v>
      </c>
      <c r="H3" s="39" t="s">
        <v>175</v>
      </c>
      <c r="I3" s="63" t="s">
        <v>684</v>
      </c>
      <c r="J3" s="63" t="s">
        <v>685</v>
      </c>
      <c r="K3" s="117" t="s">
        <v>691</v>
      </c>
      <c r="L3" s="63" t="s">
        <v>802</v>
      </c>
      <c r="M3" s="117" t="s">
        <v>694</v>
      </c>
      <c r="N3" s="117" t="s">
        <v>695</v>
      </c>
      <c r="O3" s="40" t="s">
        <v>176</v>
      </c>
      <c r="P3" s="40" t="s">
        <v>177</v>
      </c>
      <c r="Q3" s="40" t="s">
        <v>805</v>
      </c>
      <c r="R3" s="40" t="s">
        <v>696</v>
      </c>
      <c r="S3" s="40" t="s">
        <v>838</v>
      </c>
      <c r="T3" s="40" t="s">
        <v>178</v>
      </c>
      <c r="U3" s="63" t="s">
        <v>323</v>
      </c>
      <c r="V3" s="63" t="s">
        <v>1041</v>
      </c>
      <c r="W3" s="63" t="s">
        <v>326</v>
      </c>
      <c r="X3" s="41" t="s">
        <v>179</v>
      </c>
      <c r="Y3" s="41" t="s">
        <v>180</v>
      </c>
      <c r="Z3" s="41" t="s">
        <v>697</v>
      </c>
      <c r="AA3" s="41" t="s">
        <v>809</v>
      </c>
      <c r="AB3" s="41" t="s">
        <v>181</v>
      </c>
      <c r="AC3" s="42" t="s">
        <v>9</v>
      </c>
      <c r="AD3" s="10" t="s">
        <v>0</v>
      </c>
      <c r="AE3" s="11" t="s">
        <v>10</v>
      </c>
      <c r="AF3" s="12" t="s">
        <v>11</v>
      </c>
      <c r="AG3" s="121" t="s">
        <v>624</v>
      </c>
      <c r="AH3" s="99" t="s">
        <v>645</v>
      </c>
      <c r="AI3" s="99" t="s">
        <v>647</v>
      </c>
      <c r="AJ3" s="121" t="s">
        <v>832</v>
      </c>
      <c r="AK3" s="121" t="s">
        <v>831</v>
      </c>
      <c r="AL3" s="142" t="s">
        <v>911</v>
      </c>
      <c r="AM3" s="142" t="s">
        <v>910</v>
      </c>
      <c r="AN3" s="121" t="s">
        <v>877</v>
      </c>
      <c r="AO3" s="169" t="s">
        <v>1039</v>
      </c>
      <c r="AP3" s="178" t="s">
        <v>1046</v>
      </c>
      <c r="AQ3" s="121" t="s">
        <v>1048</v>
      </c>
    </row>
    <row r="4" spans="1:43" ht="16.5" customHeight="1" x14ac:dyDescent="0.3">
      <c r="A4" s="43">
        <v>1</v>
      </c>
      <c r="B4" s="44" t="s">
        <v>182</v>
      </c>
      <c r="C4" s="18" t="s">
        <v>183</v>
      </c>
      <c r="D4" s="19" t="s">
        <v>184</v>
      </c>
      <c r="E4" s="20" t="s">
        <v>185</v>
      </c>
      <c r="F4" s="6"/>
      <c r="G4" s="6"/>
      <c r="H4" s="45"/>
      <c r="I4" s="6"/>
      <c r="J4" s="45"/>
      <c r="K4" s="118"/>
      <c r="L4" s="118"/>
      <c r="M4" s="6"/>
      <c r="N4" s="45"/>
      <c r="O4" s="6">
        <v>1</v>
      </c>
      <c r="P4" s="6"/>
      <c r="Q4" s="6"/>
      <c r="R4" s="6"/>
      <c r="S4" s="6"/>
      <c r="T4" s="45"/>
      <c r="U4" s="6"/>
      <c r="V4" s="6"/>
      <c r="W4" s="45"/>
      <c r="X4" s="6"/>
      <c r="Y4" s="6"/>
      <c r="Z4" s="6"/>
      <c r="AA4" s="6"/>
      <c r="AB4" s="6"/>
      <c r="AC4" s="7">
        <v>28.56</v>
      </c>
      <c r="AD4" s="5" t="s">
        <v>186</v>
      </c>
      <c r="AE4" s="47">
        <v>12</v>
      </c>
      <c r="AF4" s="46">
        <v>12</v>
      </c>
      <c r="AG4" s="103">
        <v>6</v>
      </c>
      <c r="AH4" s="100"/>
      <c r="AI4" s="100">
        <v>6</v>
      </c>
      <c r="AJ4" s="130"/>
      <c r="AK4" s="124"/>
      <c r="AL4" s="100"/>
      <c r="AM4" s="140"/>
      <c r="AN4" s="124"/>
      <c r="AO4" s="168"/>
      <c r="AP4" s="124"/>
      <c r="AQ4" s="174"/>
    </row>
    <row r="5" spans="1:43" ht="16.5" customHeight="1" x14ac:dyDescent="0.3">
      <c r="A5" s="43">
        <v>15</v>
      </c>
      <c r="B5" s="44" t="s">
        <v>187</v>
      </c>
      <c r="C5" s="18" t="s">
        <v>183</v>
      </c>
      <c r="D5" s="19" t="s">
        <v>184</v>
      </c>
      <c r="E5" s="20" t="s">
        <v>185</v>
      </c>
      <c r="F5" s="6"/>
      <c r="G5" s="6"/>
      <c r="H5" s="45"/>
      <c r="I5" s="6"/>
      <c r="J5" s="45"/>
      <c r="K5" s="118"/>
      <c r="L5" s="118"/>
      <c r="M5" s="6"/>
      <c r="N5" s="45"/>
      <c r="O5" s="6"/>
      <c r="P5" s="6">
        <v>1</v>
      </c>
      <c r="Q5" s="6"/>
      <c r="R5" s="6"/>
      <c r="S5" s="6"/>
      <c r="T5" s="45"/>
      <c r="U5" s="6"/>
      <c r="V5" s="6"/>
      <c r="W5" s="45"/>
      <c r="X5" s="6"/>
      <c r="Y5" s="6"/>
      <c r="Z5" s="6"/>
      <c r="AA5" s="6"/>
      <c r="AB5" s="6"/>
      <c r="AC5" s="7">
        <v>28.56</v>
      </c>
      <c r="AD5" s="5" t="s">
        <v>186</v>
      </c>
      <c r="AE5" s="47">
        <v>7</v>
      </c>
      <c r="AF5" s="46">
        <v>6</v>
      </c>
      <c r="AG5" s="82"/>
      <c r="AH5" s="100"/>
      <c r="AI5" s="100"/>
      <c r="AJ5" s="130"/>
      <c r="AK5" s="124"/>
      <c r="AL5" s="100"/>
      <c r="AM5" s="140"/>
      <c r="AN5" s="124"/>
      <c r="AO5" s="168"/>
      <c r="AP5" s="124"/>
      <c r="AQ5" s="175"/>
    </row>
    <row r="6" spans="1:43" ht="16.5" customHeight="1" x14ac:dyDescent="0.3">
      <c r="A6" s="48" t="s">
        <v>188</v>
      </c>
      <c r="B6" s="44" t="s">
        <v>189</v>
      </c>
      <c r="C6" s="18" t="s">
        <v>190</v>
      </c>
      <c r="D6" s="19" t="s">
        <v>184</v>
      </c>
      <c r="E6" s="20" t="s">
        <v>191</v>
      </c>
      <c r="F6" s="6">
        <v>1</v>
      </c>
      <c r="G6" s="6"/>
      <c r="H6" s="45"/>
      <c r="I6" s="6"/>
      <c r="J6" s="45"/>
      <c r="K6" s="118"/>
      <c r="L6" s="118"/>
      <c r="M6" s="6"/>
      <c r="N6" s="45"/>
      <c r="O6" s="6"/>
      <c r="P6" s="6"/>
      <c r="Q6" s="6"/>
      <c r="R6" s="6"/>
      <c r="S6" s="6"/>
      <c r="T6" s="45"/>
      <c r="U6" s="6"/>
      <c r="V6" s="6"/>
      <c r="W6" s="45"/>
      <c r="X6" s="6"/>
      <c r="Y6" s="6"/>
      <c r="Z6" s="6"/>
      <c r="AA6" s="6"/>
      <c r="AB6" s="6"/>
      <c r="AC6" s="7">
        <v>28.56</v>
      </c>
      <c r="AD6" s="5" t="s">
        <v>186</v>
      </c>
      <c r="AE6" s="47">
        <v>1</v>
      </c>
      <c r="AF6" s="46">
        <v>5</v>
      </c>
      <c r="AG6" s="82"/>
      <c r="AH6" s="100"/>
      <c r="AI6" s="100"/>
      <c r="AJ6" s="130"/>
      <c r="AK6" s="124"/>
      <c r="AL6" s="100"/>
      <c r="AM6" s="140"/>
      <c r="AN6" s="124"/>
      <c r="AO6" s="168"/>
      <c r="AP6" s="124"/>
      <c r="AQ6" s="175"/>
    </row>
    <row r="7" spans="1:43" ht="16.5" customHeight="1" x14ac:dyDescent="0.3">
      <c r="A7" s="43">
        <v>15</v>
      </c>
      <c r="B7" s="44" t="s">
        <v>192</v>
      </c>
      <c r="C7" s="18" t="s">
        <v>190</v>
      </c>
      <c r="D7" s="19" t="s">
        <v>184</v>
      </c>
      <c r="E7" s="20" t="s">
        <v>191</v>
      </c>
      <c r="F7" s="6"/>
      <c r="G7" s="6">
        <v>1</v>
      </c>
      <c r="H7" s="45"/>
      <c r="I7" s="6"/>
      <c r="J7" s="45"/>
      <c r="K7" s="118"/>
      <c r="L7" s="118"/>
      <c r="M7" s="6"/>
      <c r="N7" s="45"/>
      <c r="O7" s="6"/>
      <c r="P7" s="6"/>
      <c r="Q7" s="6"/>
      <c r="R7" s="6"/>
      <c r="S7" s="6"/>
      <c r="T7" s="45"/>
      <c r="U7" s="6"/>
      <c r="V7" s="6"/>
      <c r="W7" s="45"/>
      <c r="X7" s="6"/>
      <c r="Y7" s="6"/>
      <c r="Z7" s="6"/>
      <c r="AA7" s="6"/>
      <c r="AB7" s="6"/>
      <c r="AC7" s="7">
        <v>28.56</v>
      </c>
      <c r="AD7" s="5" t="s">
        <v>186</v>
      </c>
      <c r="AE7" s="47">
        <v>1</v>
      </c>
      <c r="AF7" s="46">
        <v>3</v>
      </c>
      <c r="AG7" s="82"/>
      <c r="AH7" s="100"/>
      <c r="AI7" s="100"/>
      <c r="AJ7" s="130"/>
      <c r="AK7" s="124"/>
      <c r="AL7" s="100"/>
      <c r="AM7" s="140"/>
      <c r="AN7" s="124"/>
      <c r="AO7" s="168"/>
      <c r="AP7" s="124"/>
      <c r="AQ7" s="175"/>
    </row>
    <row r="8" spans="1:43" ht="16.5" customHeight="1" x14ac:dyDescent="0.3">
      <c r="A8" s="43">
        <v>1</v>
      </c>
      <c r="B8" s="49" t="s">
        <v>193</v>
      </c>
      <c r="C8" s="18" t="s">
        <v>194</v>
      </c>
      <c r="D8" s="19" t="s">
        <v>184</v>
      </c>
      <c r="E8" s="20" t="s">
        <v>195</v>
      </c>
      <c r="F8" s="6"/>
      <c r="G8" s="6"/>
      <c r="H8" s="45"/>
      <c r="I8" s="6"/>
      <c r="J8" s="45"/>
      <c r="K8" s="118"/>
      <c r="L8" s="118"/>
      <c r="M8" s="6"/>
      <c r="N8" s="45"/>
      <c r="O8" s="6"/>
      <c r="P8" s="6"/>
      <c r="Q8" s="6"/>
      <c r="R8" s="6"/>
      <c r="S8" s="6"/>
      <c r="T8" s="45"/>
      <c r="U8" s="6"/>
      <c r="V8" s="6"/>
      <c r="W8" s="45"/>
      <c r="X8" s="6">
        <v>1</v>
      </c>
      <c r="Y8" s="6"/>
      <c r="Z8" s="6"/>
      <c r="AA8" s="6"/>
      <c r="AB8" s="6"/>
      <c r="AC8" s="7">
        <v>28.56</v>
      </c>
      <c r="AD8" s="5" t="s">
        <v>186</v>
      </c>
      <c r="AE8" s="47">
        <v>5</v>
      </c>
      <c r="AF8" s="46">
        <v>5</v>
      </c>
      <c r="AG8" s="82"/>
      <c r="AH8" s="100"/>
      <c r="AI8" s="100"/>
      <c r="AJ8" s="130"/>
      <c r="AK8" s="124"/>
      <c r="AL8" s="100"/>
      <c r="AM8" s="140"/>
      <c r="AN8" s="124"/>
      <c r="AO8" s="168"/>
      <c r="AP8" s="124"/>
      <c r="AQ8" s="175"/>
    </row>
    <row r="9" spans="1:43" ht="16.5" customHeight="1" x14ac:dyDescent="0.3">
      <c r="A9" s="43">
        <v>15</v>
      </c>
      <c r="B9" s="49" t="s">
        <v>196</v>
      </c>
      <c r="C9" s="18" t="s">
        <v>194</v>
      </c>
      <c r="D9" s="19" t="s">
        <v>184</v>
      </c>
      <c r="E9" s="20" t="s">
        <v>195</v>
      </c>
      <c r="F9" s="6"/>
      <c r="G9" s="6"/>
      <c r="H9" s="45"/>
      <c r="I9" s="6"/>
      <c r="J9" s="45"/>
      <c r="K9" s="118"/>
      <c r="L9" s="118"/>
      <c r="M9" s="6"/>
      <c r="N9" s="45"/>
      <c r="O9" s="6"/>
      <c r="P9" s="6"/>
      <c r="Q9" s="6"/>
      <c r="R9" s="6"/>
      <c r="S9" s="6"/>
      <c r="T9" s="45"/>
      <c r="U9" s="6"/>
      <c r="V9" s="6"/>
      <c r="W9" s="45"/>
      <c r="X9" s="6"/>
      <c r="Y9" s="6">
        <v>1</v>
      </c>
      <c r="Z9" s="6"/>
      <c r="AA9" s="6"/>
      <c r="AB9" s="6"/>
      <c r="AC9" s="7">
        <v>28.56</v>
      </c>
      <c r="AD9" s="5" t="s">
        <v>186</v>
      </c>
      <c r="AE9" s="47">
        <v>3</v>
      </c>
      <c r="AF9" s="46">
        <v>5</v>
      </c>
      <c r="AG9" s="82"/>
      <c r="AH9" s="100"/>
      <c r="AI9" s="100"/>
      <c r="AJ9" s="130"/>
      <c r="AK9" s="124"/>
      <c r="AL9" s="100"/>
      <c r="AM9" s="140"/>
      <c r="AN9" s="124"/>
      <c r="AO9" s="168"/>
      <c r="AP9" s="124"/>
      <c r="AQ9" s="175"/>
    </row>
    <row r="10" spans="1:43" ht="16.5" customHeight="1" x14ac:dyDescent="0.3">
      <c r="A10" s="48">
        <v>9</v>
      </c>
      <c r="B10" s="44" t="s">
        <v>197</v>
      </c>
      <c r="C10" s="18" t="s">
        <v>198</v>
      </c>
      <c r="D10" s="19" t="s">
        <v>184</v>
      </c>
      <c r="E10" s="20" t="s">
        <v>191</v>
      </c>
      <c r="F10" s="6"/>
      <c r="G10" s="6"/>
      <c r="H10" s="45">
        <v>1</v>
      </c>
      <c r="I10" s="6"/>
      <c r="J10" s="45"/>
      <c r="K10" s="118"/>
      <c r="L10" s="118"/>
      <c r="M10" s="6"/>
      <c r="N10" s="45"/>
      <c r="O10" s="6"/>
      <c r="P10" s="6"/>
      <c r="Q10" s="6"/>
      <c r="R10" s="6"/>
      <c r="S10" s="6"/>
      <c r="T10" s="45"/>
      <c r="U10" s="6"/>
      <c r="V10" s="6"/>
      <c r="W10" s="45"/>
      <c r="X10" s="6"/>
      <c r="Y10" s="6"/>
      <c r="Z10" s="6"/>
      <c r="AA10" s="6"/>
      <c r="AB10" s="6"/>
      <c r="AC10" s="7">
        <v>16.84564129434186</v>
      </c>
      <c r="AD10" s="5" t="s">
        <v>186</v>
      </c>
      <c r="AE10" s="47">
        <v>0</v>
      </c>
      <c r="AF10" s="46">
        <v>3</v>
      </c>
      <c r="AG10" s="82"/>
      <c r="AH10" s="100"/>
      <c r="AI10" s="100"/>
      <c r="AJ10" s="130"/>
      <c r="AK10" s="124"/>
      <c r="AL10" s="100"/>
      <c r="AM10" s="140"/>
      <c r="AN10" s="124"/>
      <c r="AO10" s="168"/>
      <c r="AP10" s="124"/>
      <c r="AQ10" s="175"/>
    </row>
    <row r="11" spans="1:43" ht="16.5" customHeight="1" x14ac:dyDescent="0.3">
      <c r="A11" s="48">
        <v>9</v>
      </c>
      <c r="B11" s="49" t="s">
        <v>199</v>
      </c>
      <c r="C11" s="18" t="s">
        <v>200</v>
      </c>
      <c r="D11" s="19" t="s">
        <v>184</v>
      </c>
      <c r="E11" s="20" t="s">
        <v>185</v>
      </c>
      <c r="F11" s="6"/>
      <c r="G11" s="6"/>
      <c r="H11" s="45"/>
      <c r="I11" s="6"/>
      <c r="J11" s="45"/>
      <c r="K11" s="118"/>
      <c r="L11" s="118"/>
      <c r="M11" s="6"/>
      <c r="N11" s="45"/>
      <c r="O11" s="6"/>
      <c r="P11" s="6"/>
      <c r="Q11" s="6"/>
      <c r="R11" s="6"/>
      <c r="S11" s="6"/>
      <c r="T11" s="45">
        <v>1</v>
      </c>
      <c r="U11" s="6"/>
      <c r="V11" s="6"/>
      <c r="W11" s="45"/>
      <c r="X11" s="6"/>
      <c r="Y11" s="6"/>
      <c r="Z11" s="6"/>
      <c r="AA11" s="6"/>
      <c r="AB11" s="6"/>
      <c r="AC11" s="7">
        <v>16.84564129434186</v>
      </c>
      <c r="AD11" s="5" t="s">
        <v>186</v>
      </c>
      <c r="AE11" s="47">
        <v>0</v>
      </c>
      <c r="AF11" s="46">
        <v>4</v>
      </c>
      <c r="AG11" s="82"/>
      <c r="AH11" s="100"/>
      <c r="AI11" s="100"/>
      <c r="AJ11" s="130"/>
      <c r="AK11" s="124"/>
      <c r="AL11" s="100"/>
      <c r="AM11" s="140"/>
      <c r="AN11" s="124"/>
      <c r="AO11" s="168"/>
      <c r="AP11" s="124"/>
      <c r="AQ11" s="175"/>
    </row>
    <row r="12" spans="1:43" ht="16.5" customHeight="1" x14ac:dyDescent="0.3">
      <c r="A12" s="48">
        <v>9</v>
      </c>
      <c r="B12" s="49" t="s">
        <v>201</v>
      </c>
      <c r="C12" s="18" t="s">
        <v>202</v>
      </c>
      <c r="D12" s="19" t="s">
        <v>184</v>
      </c>
      <c r="E12" s="20" t="s">
        <v>195</v>
      </c>
      <c r="F12" s="6"/>
      <c r="G12" s="6"/>
      <c r="H12" s="45"/>
      <c r="I12" s="6"/>
      <c r="J12" s="45"/>
      <c r="K12" s="118"/>
      <c r="L12" s="118"/>
      <c r="M12" s="6"/>
      <c r="N12" s="45"/>
      <c r="O12" s="6"/>
      <c r="P12" s="6"/>
      <c r="Q12" s="6"/>
      <c r="R12" s="6"/>
      <c r="S12" s="6"/>
      <c r="T12" s="45"/>
      <c r="U12" s="6"/>
      <c r="V12" s="6"/>
      <c r="W12" s="45"/>
      <c r="X12" s="6"/>
      <c r="Y12" s="6"/>
      <c r="Z12" s="6"/>
      <c r="AA12" s="6"/>
      <c r="AB12" s="6">
        <v>1</v>
      </c>
      <c r="AC12" s="7">
        <v>16.84564129434186</v>
      </c>
      <c r="AD12" s="5" t="s">
        <v>186</v>
      </c>
      <c r="AE12" s="47">
        <v>0</v>
      </c>
      <c r="AF12" s="46">
        <v>4</v>
      </c>
      <c r="AG12" s="82"/>
      <c r="AH12" s="100"/>
      <c r="AI12" s="100"/>
      <c r="AJ12" s="130"/>
      <c r="AK12" s="124"/>
      <c r="AL12" s="100"/>
      <c r="AM12" s="140"/>
      <c r="AN12" s="124"/>
      <c r="AO12" s="168"/>
      <c r="AP12" s="124"/>
      <c r="AQ12" s="175"/>
    </row>
    <row r="13" spans="1:43" ht="16.5" customHeight="1" x14ac:dyDescent="0.3">
      <c r="A13" s="48">
        <v>9</v>
      </c>
      <c r="B13" s="116" t="s">
        <v>699</v>
      </c>
      <c r="C13" s="18" t="s">
        <v>687</v>
      </c>
      <c r="D13" s="19" t="s">
        <v>184</v>
      </c>
      <c r="E13" s="20" t="s">
        <v>688</v>
      </c>
      <c r="F13" s="6"/>
      <c r="G13" s="6"/>
      <c r="H13" s="45"/>
      <c r="I13" s="6">
        <v>1</v>
      </c>
      <c r="J13" s="45"/>
      <c r="K13" s="118"/>
      <c r="L13" s="118"/>
      <c r="M13" s="6"/>
      <c r="N13" s="45"/>
      <c r="O13" s="6"/>
      <c r="P13" s="6"/>
      <c r="Q13" s="6"/>
      <c r="R13" s="6"/>
      <c r="S13" s="6"/>
      <c r="T13" s="45"/>
      <c r="U13" s="6"/>
      <c r="V13" s="6"/>
      <c r="W13" s="45"/>
      <c r="X13" s="6"/>
      <c r="Y13" s="6"/>
      <c r="Z13" s="6"/>
      <c r="AA13" s="6"/>
      <c r="AB13" s="6"/>
      <c r="AC13" s="7">
        <v>13.02</v>
      </c>
      <c r="AD13" s="5" t="s">
        <v>186</v>
      </c>
      <c r="AE13" s="47"/>
      <c r="AF13" s="46"/>
      <c r="AG13" s="82"/>
      <c r="AH13" s="100"/>
      <c r="AI13" s="100"/>
      <c r="AJ13" s="150">
        <v>2</v>
      </c>
      <c r="AK13" s="124"/>
      <c r="AL13" s="100"/>
      <c r="AM13" s="140">
        <v>2</v>
      </c>
      <c r="AN13" s="124"/>
      <c r="AO13" s="168"/>
      <c r="AP13" s="179">
        <v>1</v>
      </c>
      <c r="AQ13" s="103">
        <v>1</v>
      </c>
    </row>
    <row r="14" spans="1:43" ht="16.5" customHeight="1" x14ac:dyDescent="0.3">
      <c r="A14" s="48">
        <v>13</v>
      </c>
      <c r="B14" s="116" t="s">
        <v>700</v>
      </c>
      <c r="C14" s="18" t="s">
        <v>689</v>
      </c>
      <c r="D14" s="19" t="s">
        <v>184</v>
      </c>
      <c r="E14" s="20" t="s">
        <v>688</v>
      </c>
      <c r="F14" s="6"/>
      <c r="G14" s="6"/>
      <c r="H14" s="45"/>
      <c r="I14" s="6"/>
      <c r="J14" s="45">
        <v>1</v>
      </c>
      <c r="K14" s="118"/>
      <c r="L14" s="118"/>
      <c r="M14" s="6"/>
      <c r="N14" s="45"/>
      <c r="O14" s="6"/>
      <c r="P14" s="6"/>
      <c r="Q14" s="6"/>
      <c r="R14" s="6"/>
      <c r="S14" s="6"/>
      <c r="T14" s="45"/>
      <c r="U14" s="6"/>
      <c r="V14" s="6"/>
      <c r="W14" s="45"/>
      <c r="X14" s="6"/>
      <c r="Y14" s="6"/>
      <c r="Z14" s="6"/>
      <c r="AA14" s="6"/>
      <c r="AB14" s="6"/>
      <c r="AC14" s="7">
        <v>26.781999999999996</v>
      </c>
      <c r="AD14" s="5" t="s">
        <v>186</v>
      </c>
      <c r="AE14" s="47"/>
      <c r="AF14" s="46"/>
      <c r="AG14" s="82"/>
      <c r="AH14" s="100"/>
      <c r="AI14" s="100"/>
      <c r="AJ14" s="150">
        <v>3</v>
      </c>
      <c r="AK14" s="124"/>
      <c r="AL14" s="100"/>
      <c r="AM14" s="140">
        <v>3</v>
      </c>
      <c r="AN14" s="124"/>
      <c r="AO14" s="168"/>
      <c r="AP14" s="124"/>
      <c r="AQ14" s="175"/>
    </row>
    <row r="15" spans="1:43" ht="16.5" customHeight="1" x14ac:dyDescent="0.3">
      <c r="A15" s="48">
        <v>13</v>
      </c>
      <c r="B15" s="116" t="s">
        <v>1045</v>
      </c>
      <c r="C15" s="18" t="s">
        <v>689</v>
      </c>
      <c r="D15" s="19" t="s">
        <v>184</v>
      </c>
      <c r="E15" s="20" t="s">
        <v>688</v>
      </c>
      <c r="F15" s="6"/>
      <c r="G15" s="6"/>
      <c r="H15" s="45"/>
      <c r="I15" s="6"/>
      <c r="J15" s="45"/>
      <c r="K15" s="118"/>
      <c r="L15" s="118"/>
      <c r="M15" s="6"/>
      <c r="N15" s="45"/>
      <c r="O15" s="6"/>
      <c r="P15" s="6"/>
      <c r="Q15" s="6"/>
      <c r="R15" s="6"/>
      <c r="S15" s="6"/>
      <c r="T15" s="45"/>
      <c r="U15" s="6"/>
      <c r="V15" s="6">
        <v>1</v>
      </c>
      <c r="W15" s="45"/>
      <c r="X15" s="6"/>
      <c r="Y15" s="6"/>
      <c r="Z15" s="6"/>
      <c r="AA15" s="6"/>
      <c r="AB15" s="6"/>
      <c r="AC15" s="7">
        <v>16</v>
      </c>
      <c r="AD15" s="5" t="s">
        <v>186</v>
      </c>
      <c r="AE15" s="47"/>
      <c r="AF15" s="46"/>
      <c r="AG15" s="82"/>
      <c r="AH15" s="100"/>
      <c r="AI15" s="100"/>
      <c r="AJ15" s="170"/>
      <c r="AK15" s="124"/>
      <c r="AL15" s="100"/>
      <c r="AM15" s="140"/>
      <c r="AN15" s="124"/>
      <c r="AO15" s="168"/>
      <c r="AP15" s="179">
        <v>5</v>
      </c>
      <c r="AQ15" s="103">
        <v>5</v>
      </c>
    </row>
    <row r="16" spans="1:43" ht="16.5" customHeight="1" x14ac:dyDescent="0.3">
      <c r="A16" s="48">
        <v>13</v>
      </c>
      <c r="B16" s="116" t="s">
        <v>698</v>
      </c>
      <c r="C16" s="18" t="s">
        <v>692</v>
      </c>
      <c r="D16" s="19" t="s">
        <v>184</v>
      </c>
      <c r="E16" s="20" t="s">
        <v>693</v>
      </c>
      <c r="F16" s="6"/>
      <c r="G16" s="6"/>
      <c r="H16" s="45"/>
      <c r="I16" s="6"/>
      <c r="J16" s="45"/>
      <c r="K16" s="118">
        <v>1</v>
      </c>
      <c r="L16" s="118"/>
      <c r="M16" s="6"/>
      <c r="N16" s="45"/>
      <c r="O16" s="6"/>
      <c r="P16" s="6"/>
      <c r="Q16" s="6"/>
      <c r="R16" s="6"/>
      <c r="S16" s="6"/>
      <c r="T16" s="45"/>
      <c r="U16" s="6"/>
      <c r="V16" s="6"/>
      <c r="W16" s="45"/>
      <c r="X16" s="6"/>
      <c r="Y16" s="6"/>
      <c r="Z16" s="6"/>
      <c r="AA16" s="6"/>
      <c r="AB16" s="6"/>
      <c r="AC16" s="7">
        <v>26.781999999999996</v>
      </c>
      <c r="AD16" s="5" t="s">
        <v>186</v>
      </c>
      <c r="AE16" s="47"/>
      <c r="AF16" s="46"/>
      <c r="AG16" s="82"/>
      <c r="AH16" s="100"/>
      <c r="AI16" s="100"/>
      <c r="AJ16" s="130"/>
      <c r="AK16" s="103">
        <v>5</v>
      </c>
      <c r="AL16" s="100">
        <v>5</v>
      </c>
      <c r="AM16" s="140"/>
      <c r="AN16" s="103">
        <v>2</v>
      </c>
      <c r="AO16" s="168">
        <v>2</v>
      </c>
      <c r="AP16" s="124"/>
      <c r="AQ16" s="175"/>
    </row>
    <row r="17" spans="1:43" ht="16.5" customHeight="1" x14ac:dyDescent="0.3">
      <c r="A17" s="48">
        <v>9</v>
      </c>
      <c r="B17" s="60" t="s">
        <v>328</v>
      </c>
      <c r="C17" s="18" t="s">
        <v>329</v>
      </c>
      <c r="D17" s="19" t="s">
        <v>330</v>
      </c>
      <c r="E17" s="20" t="s">
        <v>331</v>
      </c>
      <c r="F17" s="6"/>
      <c r="G17" s="6"/>
      <c r="H17" s="45"/>
      <c r="I17" s="6"/>
      <c r="J17" s="45"/>
      <c r="K17" s="118"/>
      <c r="L17" s="118"/>
      <c r="M17" s="6"/>
      <c r="N17" s="45"/>
      <c r="O17" s="6"/>
      <c r="P17" s="6"/>
      <c r="Q17" s="6"/>
      <c r="R17" s="6"/>
      <c r="S17" s="6"/>
      <c r="T17" s="45"/>
      <c r="U17" s="6">
        <v>1</v>
      </c>
      <c r="V17" s="6"/>
      <c r="W17" s="45"/>
      <c r="X17" s="6"/>
      <c r="Y17" s="6"/>
      <c r="Z17" s="6"/>
      <c r="AA17" s="6"/>
      <c r="AB17" s="6"/>
      <c r="AC17" s="7">
        <v>13.803999999999998</v>
      </c>
      <c r="AD17" s="5" t="s">
        <v>186</v>
      </c>
      <c r="AE17" s="47">
        <v>0</v>
      </c>
      <c r="AF17" s="46">
        <v>2</v>
      </c>
      <c r="AG17" s="103">
        <v>2</v>
      </c>
      <c r="AH17" s="100">
        <v>2</v>
      </c>
      <c r="AI17" s="100"/>
      <c r="AJ17" s="130"/>
      <c r="AK17" s="124"/>
      <c r="AL17" s="100"/>
      <c r="AM17" s="140"/>
      <c r="AN17" s="124"/>
      <c r="AO17" s="168"/>
      <c r="AP17" s="124"/>
      <c r="AQ17" s="175"/>
    </row>
    <row r="18" spans="1:43" ht="16.5" customHeight="1" x14ac:dyDescent="0.3">
      <c r="A18" s="48">
        <v>9</v>
      </c>
      <c r="B18" s="129" t="s">
        <v>806</v>
      </c>
      <c r="C18" s="18" t="s">
        <v>807</v>
      </c>
      <c r="D18" s="19" t="s">
        <v>330</v>
      </c>
      <c r="E18" s="20" t="s">
        <v>808</v>
      </c>
      <c r="F18" s="6"/>
      <c r="G18" s="6"/>
      <c r="H18" s="45"/>
      <c r="I18" s="6"/>
      <c r="J18" s="45"/>
      <c r="K18" s="118"/>
      <c r="L18" s="118"/>
      <c r="M18" s="6">
        <v>1</v>
      </c>
      <c r="N18" s="45"/>
      <c r="O18" s="6"/>
      <c r="P18" s="6"/>
      <c r="Q18" s="6"/>
      <c r="R18" s="6"/>
      <c r="S18" s="6"/>
      <c r="T18" s="45"/>
      <c r="U18" s="6"/>
      <c r="V18" s="6"/>
      <c r="W18" s="45"/>
      <c r="X18" s="6"/>
      <c r="Y18" s="6"/>
      <c r="Z18" s="6"/>
      <c r="AA18" s="6"/>
      <c r="AB18" s="6"/>
      <c r="AC18" s="7">
        <v>12.26</v>
      </c>
      <c r="AD18" s="5" t="s">
        <v>186</v>
      </c>
      <c r="AE18" s="47"/>
      <c r="AF18" s="46"/>
      <c r="AG18" s="128"/>
      <c r="AH18" s="100"/>
      <c r="AI18" s="100"/>
      <c r="AJ18" s="130"/>
      <c r="AK18" s="103">
        <v>2</v>
      </c>
      <c r="AL18" s="100">
        <v>2</v>
      </c>
      <c r="AM18" s="140"/>
      <c r="AN18" s="124"/>
      <c r="AO18" s="168"/>
      <c r="AP18" s="124"/>
      <c r="AQ18" s="175"/>
    </row>
    <row r="19" spans="1:43" ht="16.5" customHeight="1" x14ac:dyDescent="0.3">
      <c r="A19" s="48">
        <v>13</v>
      </c>
      <c r="B19" s="60" t="s">
        <v>343</v>
      </c>
      <c r="C19" s="18" t="s">
        <v>342</v>
      </c>
      <c r="D19" s="19" t="s">
        <v>184</v>
      </c>
      <c r="E19" s="20" t="s">
        <v>331</v>
      </c>
      <c r="F19" s="6"/>
      <c r="G19" s="6"/>
      <c r="H19" s="45"/>
      <c r="I19" s="6"/>
      <c r="J19" s="45"/>
      <c r="K19" s="118"/>
      <c r="L19" s="118"/>
      <c r="M19" s="6"/>
      <c r="N19" s="45"/>
      <c r="O19" s="6"/>
      <c r="P19" s="6"/>
      <c r="Q19" s="6"/>
      <c r="R19" s="6"/>
      <c r="S19" s="6"/>
      <c r="T19" s="45"/>
      <c r="U19" s="6"/>
      <c r="V19" s="6"/>
      <c r="W19" s="45">
        <v>1</v>
      </c>
      <c r="X19" s="6"/>
      <c r="Y19" s="6"/>
      <c r="Z19" s="6"/>
      <c r="AA19" s="6"/>
      <c r="AB19" s="6"/>
      <c r="AC19" s="7">
        <v>26.781999999999996</v>
      </c>
      <c r="AD19" s="5" t="s">
        <v>186</v>
      </c>
      <c r="AE19" s="47">
        <v>0</v>
      </c>
      <c r="AF19" s="46">
        <v>3</v>
      </c>
      <c r="AG19" s="103">
        <v>3</v>
      </c>
      <c r="AH19" s="100">
        <v>3</v>
      </c>
      <c r="AI19" s="100"/>
      <c r="AJ19" s="130"/>
      <c r="AK19" s="124"/>
      <c r="AL19" s="100"/>
      <c r="AM19" s="140"/>
      <c r="AN19" s="124"/>
      <c r="AO19" s="168"/>
      <c r="AP19" s="124"/>
      <c r="AQ19" s="175"/>
    </row>
    <row r="20" spans="1:43" ht="16.5" customHeight="1" x14ac:dyDescent="0.3">
      <c r="A20" s="48">
        <v>13</v>
      </c>
      <c r="B20" s="116" t="s">
        <v>813</v>
      </c>
      <c r="C20" s="18" t="s">
        <v>812</v>
      </c>
      <c r="D20" s="19" t="s">
        <v>184</v>
      </c>
      <c r="E20" s="20" t="s">
        <v>811</v>
      </c>
      <c r="F20" s="6"/>
      <c r="G20" s="6"/>
      <c r="H20" s="45"/>
      <c r="I20" s="6"/>
      <c r="J20" s="45"/>
      <c r="K20" s="118"/>
      <c r="L20" s="118">
        <v>1</v>
      </c>
      <c r="M20" s="6"/>
      <c r="N20" s="45"/>
      <c r="O20" s="6"/>
      <c r="P20" s="6"/>
      <c r="Q20" s="6"/>
      <c r="R20" s="6"/>
      <c r="S20" s="6"/>
      <c r="T20" s="45"/>
      <c r="U20" s="6"/>
      <c r="V20" s="6"/>
      <c r="W20" s="45"/>
      <c r="X20" s="6"/>
      <c r="Y20" s="6"/>
      <c r="Z20" s="6"/>
      <c r="AA20" s="6"/>
      <c r="AB20" s="6"/>
      <c r="AC20" s="7">
        <v>21.85</v>
      </c>
      <c r="AD20" s="5" t="s">
        <v>186</v>
      </c>
      <c r="AE20" s="47"/>
      <c r="AF20" s="46"/>
      <c r="AG20" s="82"/>
      <c r="AH20" s="100"/>
      <c r="AI20" s="100"/>
      <c r="AJ20" s="130"/>
      <c r="AK20" s="103">
        <v>4</v>
      </c>
      <c r="AL20" s="100">
        <v>4</v>
      </c>
      <c r="AM20" s="140"/>
      <c r="AN20" s="124"/>
      <c r="AO20" s="168"/>
      <c r="AP20" s="124"/>
      <c r="AQ20" s="175"/>
    </row>
    <row r="21" spans="1:43" ht="16.5" customHeight="1" x14ac:dyDescent="0.3">
      <c r="A21" s="48">
        <v>13</v>
      </c>
      <c r="B21" s="116" t="s">
        <v>816</v>
      </c>
      <c r="C21" s="18" t="s">
        <v>815</v>
      </c>
      <c r="D21" s="19" t="s">
        <v>814</v>
      </c>
      <c r="E21" s="20" t="s">
        <v>185</v>
      </c>
      <c r="F21" s="6"/>
      <c r="G21" s="6"/>
      <c r="H21" s="45"/>
      <c r="I21" s="6"/>
      <c r="J21" s="45"/>
      <c r="K21" s="118"/>
      <c r="L21" s="118"/>
      <c r="M21" s="6"/>
      <c r="N21" s="45"/>
      <c r="O21" s="6"/>
      <c r="P21" s="6"/>
      <c r="Q21" s="6">
        <v>1</v>
      </c>
      <c r="R21" s="6"/>
      <c r="S21" s="6"/>
      <c r="T21" s="45"/>
      <c r="U21" s="6"/>
      <c r="V21" s="6"/>
      <c r="W21" s="45"/>
      <c r="X21" s="6"/>
      <c r="Y21" s="6"/>
      <c r="Z21" s="6"/>
      <c r="AA21" s="6"/>
      <c r="AB21" s="6"/>
      <c r="AC21" s="7">
        <v>15</v>
      </c>
      <c r="AD21" s="5" t="s">
        <v>186</v>
      </c>
      <c r="AE21" s="47"/>
      <c r="AF21" s="46"/>
      <c r="AG21" s="82"/>
      <c r="AH21" s="100"/>
      <c r="AI21" s="100"/>
      <c r="AJ21" s="130"/>
      <c r="AK21" s="103">
        <v>4</v>
      </c>
      <c r="AL21" s="100">
        <v>4</v>
      </c>
      <c r="AM21" s="140"/>
      <c r="AN21" s="124"/>
      <c r="AO21" s="168"/>
      <c r="AP21" s="179">
        <v>2</v>
      </c>
      <c r="AQ21" s="103">
        <v>2</v>
      </c>
    </row>
    <row r="22" spans="1:43" ht="16.5" customHeight="1" x14ac:dyDescent="0.3">
      <c r="A22" s="48">
        <v>13</v>
      </c>
      <c r="B22" s="116" t="s">
        <v>820</v>
      </c>
      <c r="C22" s="18" t="s">
        <v>818</v>
      </c>
      <c r="D22" s="19" t="s">
        <v>821</v>
      </c>
      <c r="E22" s="20" t="s">
        <v>185</v>
      </c>
      <c r="F22" s="6"/>
      <c r="G22" s="6"/>
      <c r="H22" s="45"/>
      <c r="I22" s="6"/>
      <c r="J22" s="45"/>
      <c r="K22" s="118"/>
      <c r="L22" s="118"/>
      <c r="M22" s="6"/>
      <c r="N22" s="45"/>
      <c r="O22" s="6"/>
      <c r="P22" s="6"/>
      <c r="Q22" s="6"/>
      <c r="R22" s="6">
        <v>1</v>
      </c>
      <c r="S22" s="6"/>
      <c r="T22" s="45"/>
      <c r="U22" s="6"/>
      <c r="V22" s="6"/>
      <c r="W22" s="45"/>
      <c r="X22" s="6"/>
      <c r="Y22" s="6"/>
      <c r="Z22" s="6"/>
      <c r="AA22" s="6"/>
      <c r="AB22" s="6"/>
      <c r="AC22" s="7">
        <v>15</v>
      </c>
      <c r="AD22" s="5" t="s">
        <v>186</v>
      </c>
      <c r="AE22" s="47"/>
      <c r="AF22" s="46"/>
      <c r="AG22" s="82"/>
      <c r="AH22" s="100"/>
      <c r="AI22" s="100"/>
      <c r="AJ22" s="130"/>
      <c r="AK22" s="103">
        <v>10</v>
      </c>
      <c r="AL22" s="100">
        <v>10</v>
      </c>
      <c r="AM22" s="140"/>
      <c r="AN22" s="124"/>
      <c r="AO22" s="168"/>
      <c r="AP22" s="179">
        <v>10</v>
      </c>
      <c r="AQ22" s="103">
        <v>10</v>
      </c>
    </row>
    <row r="23" spans="1:43" ht="16.5" customHeight="1" x14ac:dyDescent="0.3">
      <c r="A23" s="48">
        <v>13</v>
      </c>
      <c r="B23" s="116" t="s">
        <v>819</v>
      </c>
      <c r="C23" s="18" t="s">
        <v>818</v>
      </c>
      <c r="D23" s="19" t="s">
        <v>817</v>
      </c>
      <c r="E23" s="20" t="s">
        <v>808</v>
      </c>
      <c r="F23" s="6"/>
      <c r="G23" s="6"/>
      <c r="H23" s="45"/>
      <c r="I23" s="6"/>
      <c r="J23" s="45"/>
      <c r="K23" s="118"/>
      <c r="L23" s="118"/>
      <c r="M23" s="6"/>
      <c r="N23" s="45">
        <v>1</v>
      </c>
      <c r="O23" s="6"/>
      <c r="P23" s="6"/>
      <c r="Q23" s="6"/>
      <c r="R23" s="6"/>
      <c r="S23" s="6"/>
      <c r="T23" s="45"/>
      <c r="U23" s="6"/>
      <c r="V23" s="6"/>
      <c r="W23" s="45"/>
      <c r="X23" s="6"/>
      <c r="Y23" s="6"/>
      <c r="Z23" s="6"/>
      <c r="AA23" s="6"/>
      <c r="AB23" s="6"/>
      <c r="AC23" s="7">
        <v>21.85</v>
      </c>
      <c r="AD23" s="5" t="s">
        <v>186</v>
      </c>
      <c r="AE23" s="47"/>
      <c r="AF23" s="46"/>
      <c r="AG23" s="82"/>
      <c r="AH23" s="100"/>
      <c r="AI23" s="100"/>
      <c r="AJ23" s="130"/>
      <c r="AK23" s="103">
        <v>3</v>
      </c>
      <c r="AL23" s="100">
        <v>3</v>
      </c>
      <c r="AM23" s="140"/>
      <c r="AN23" s="124"/>
      <c r="AO23" s="168"/>
      <c r="AP23" s="124"/>
      <c r="AQ23" s="175"/>
    </row>
    <row r="24" spans="1:43" ht="16.5" customHeight="1" x14ac:dyDescent="0.3">
      <c r="A24" s="48">
        <v>13</v>
      </c>
      <c r="B24" s="129" t="s">
        <v>829</v>
      </c>
      <c r="C24" s="18" t="s">
        <v>828</v>
      </c>
      <c r="D24" s="19" t="s">
        <v>184</v>
      </c>
      <c r="E24" s="20" t="s">
        <v>195</v>
      </c>
      <c r="F24" s="6"/>
      <c r="G24" s="6"/>
      <c r="H24" s="45"/>
      <c r="I24" s="6"/>
      <c r="J24" s="45"/>
      <c r="K24" s="118"/>
      <c r="L24" s="118"/>
      <c r="M24" s="6"/>
      <c r="N24" s="45"/>
      <c r="O24" s="6"/>
      <c r="P24" s="6"/>
      <c r="Q24" s="6"/>
      <c r="R24" s="6"/>
      <c r="S24" s="6"/>
      <c r="T24" s="45"/>
      <c r="U24" s="6"/>
      <c r="V24" s="6"/>
      <c r="W24" s="45"/>
      <c r="X24" s="6"/>
      <c r="Y24" s="6"/>
      <c r="Z24" s="6">
        <v>1</v>
      </c>
      <c r="AA24" s="6"/>
      <c r="AB24" s="6"/>
      <c r="AC24" s="7">
        <v>21.85</v>
      </c>
      <c r="AD24" s="5" t="s">
        <v>186</v>
      </c>
      <c r="AE24" s="47"/>
      <c r="AF24" s="46"/>
      <c r="AG24" s="82"/>
      <c r="AH24" s="100"/>
      <c r="AI24" s="100"/>
      <c r="AJ24" s="130"/>
      <c r="AK24" s="124"/>
      <c r="AL24" s="100"/>
      <c r="AM24" s="140"/>
      <c r="AN24" s="124"/>
      <c r="AO24" s="168"/>
      <c r="AP24" s="124"/>
      <c r="AQ24" s="175"/>
    </row>
    <row r="25" spans="1:43" ht="16.5" customHeight="1" x14ac:dyDescent="0.3">
      <c r="A25" s="48">
        <v>13</v>
      </c>
      <c r="B25" s="129" t="s">
        <v>830</v>
      </c>
      <c r="C25" s="18" t="s">
        <v>828</v>
      </c>
      <c r="D25" s="19" t="s">
        <v>184</v>
      </c>
      <c r="E25" s="20" t="s">
        <v>195</v>
      </c>
      <c r="F25" s="6"/>
      <c r="G25" s="6"/>
      <c r="H25" s="45"/>
      <c r="I25" s="6"/>
      <c r="J25" s="45"/>
      <c r="K25" s="118"/>
      <c r="L25" s="118"/>
      <c r="M25" s="6"/>
      <c r="N25" s="45"/>
      <c r="O25" s="6"/>
      <c r="P25" s="6"/>
      <c r="Q25" s="6"/>
      <c r="R25" s="6"/>
      <c r="S25" s="6"/>
      <c r="T25" s="45"/>
      <c r="U25" s="6"/>
      <c r="V25" s="6"/>
      <c r="W25" s="45"/>
      <c r="X25" s="6"/>
      <c r="Y25" s="6"/>
      <c r="Z25" s="6"/>
      <c r="AA25" s="6">
        <v>1</v>
      </c>
      <c r="AB25" s="6"/>
      <c r="AC25" s="7">
        <v>21.85</v>
      </c>
      <c r="AD25" s="5" t="s">
        <v>186</v>
      </c>
      <c r="AE25" s="47"/>
      <c r="AF25" s="46"/>
      <c r="AG25" s="82"/>
      <c r="AH25" s="100"/>
      <c r="AI25" s="100"/>
      <c r="AJ25" s="130"/>
      <c r="AK25" s="124"/>
      <c r="AL25" s="100"/>
      <c r="AM25" s="140"/>
      <c r="AN25" s="124"/>
      <c r="AO25" s="168"/>
      <c r="AP25" s="124"/>
      <c r="AQ25" s="175"/>
    </row>
    <row r="26" spans="1:43" ht="16.5" customHeight="1" x14ac:dyDescent="0.3">
      <c r="A26" s="50" t="s">
        <v>203</v>
      </c>
      <c r="B26" s="18" t="s">
        <v>204</v>
      </c>
      <c r="C26" s="18" t="s">
        <v>205</v>
      </c>
      <c r="D26" s="19" t="s">
        <v>206</v>
      </c>
      <c r="E26" s="20" t="s">
        <v>207</v>
      </c>
      <c r="F26" s="6">
        <v>2</v>
      </c>
      <c r="G26" s="6">
        <v>2</v>
      </c>
      <c r="H26" s="45">
        <v>1</v>
      </c>
      <c r="I26" s="6">
        <v>1</v>
      </c>
      <c r="J26" s="45"/>
      <c r="K26" s="118"/>
      <c r="L26" s="118"/>
      <c r="M26" s="6">
        <v>1</v>
      </c>
      <c r="N26" s="45"/>
      <c r="O26" s="6">
        <v>2</v>
      </c>
      <c r="P26" s="6">
        <v>2</v>
      </c>
      <c r="Q26" s="6"/>
      <c r="R26" s="6"/>
      <c r="S26" s="6"/>
      <c r="T26" s="45">
        <v>1</v>
      </c>
      <c r="U26" s="6">
        <v>1</v>
      </c>
      <c r="V26" s="6"/>
      <c r="W26" s="45"/>
      <c r="X26" s="6">
        <v>2</v>
      </c>
      <c r="Y26" s="6">
        <v>2</v>
      </c>
      <c r="Z26" s="6"/>
      <c r="AA26" s="6"/>
      <c r="AB26" s="6">
        <v>1</v>
      </c>
      <c r="AC26" s="7">
        <v>0.44799999999999995</v>
      </c>
      <c r="AD26" s="5" t="s">
        <v>208</v>
      </c>
      <c r="AE26" s="47">
        <v>0</v>
      </c>
      <c r="AF26" s="46">
        <v>10</v>
      </c>
      <c r="AG26" s="82"/>
      <c r="AH26" s="100"/>
      <c r="AI26" s="100"/>
      <c r="AJ26" s="130"/>
      <c r="AK26" s="124"/>
      <c r="AL26" s="100"/>
      <c r="AM26" s="140"/>
      <c r="AN26" s="124"/>
      <c r="AO26" s="168"/>
      <c r="AP26" s="124"/>
      <c r="AQ26" s="175"/>
    </row>
    <row r="27" spans="1:43" ht="16.5" customHeight="1" x14ac:dyDescent="0.3">
      <c r="A27" s="50" t="s">
        <v>209</v>
      </c>
      <c r="B27" s="18" t="s">
        <v>210</v>
      </c>
      <c r="C27" s="18" t="s">
        <v>205</v>
      </c>
      <c r="D27" s="19" t="s">
        <v>206</v>
      </c>
      <c r="E27" s="20" t="s">
        <v>207</v>
      </c>
      <c r="F27" s="6">
        <v>1</v>
      </c>
      <c r="G27" s="6">
        <v>1</v>
      </c>
      <c r="H27" s="45"/>
      <c r="I27" s="6"/>
      <c r="J27" s="45"/>
      <c r="K27" s="118"/>
      <c r="L27" s="118"/>
      <c r="M27" s="6"/>
      <c r="N27" s="45"/>
      <c r="O27" s="6">
        <v>1</v>
      </c>
      <c r="P27" s="6">
        <v>1</v>
      </c>
      <c r="Q27" s="6"/>
      <c r="R27" s="6"/>
      <c r="S27" s="6"/>
      <c r="T27" s="45"/>
      <c r="U27" s="6"/>
      <c r="V27" s="6"/>
      <c r="W27" s="45"/>
      <c r="X27" s="6">
        <v>1</v>
      </c>
      <c r="Y27" s="6">
        <v>1</v>
      </c>
      <c r="Z27" s="6"/>
      <c r="AA27" s="6"/>
      <c r="AB27" s="6"/>
      <c r="AC27" s="7">
        <v>0.4959359040636</v>
      </c>
      <c r="AD27" s="5" t="s">
        <v>208</v>
      </c>
      <c r="AE27" s="47">
        <v>0</v>
      </c>
      <c r="AF27" s="46">
        <v>6</v>
      </c>
      <c r="AG27" s="82"/>
      <c r="AH27" s="100"/>
      <c r="AI27" s="100"/>
      <c r="AJ27" s="130"/>
      <c r="AK27" s="124"/>
      <c r="AL27" s="100"/>
      <c r="AM27" s="140"/>
      <c r="AN27" s="124"/>
      <c r="AO27" s="168"/>
      <c r="AP27" s="124"/>
      <c r="AQ27" s="175"/>
    </row>
    <row r="28" spans="1:43" ht="16.5" customHeight="1" x14ac:dyDescent="0.3">
      <c r="A28" s="51">
        <v>18</v>
      </c>
      <c r="B28" s="44" t="s">
        <v>211</v>
      </c>
      <c r="C28" s="18" t="s">
        <v>205</v>
      </c>
      <c r="D28" s="19" t="s">
        <v>206</v>
      </c>
      <c r="E28" s="20" t="s">
        <v>207</v>
      </c>
      <c r="F28" s="6"/>
      <c r="G28" s="6">
        <v>2</v>
      </c>
      <c r="H28" s="45"/>
      <c r="I28" s="6"/>
      <c r="J28" s="45"/>
      <c r="K28" s="118"/>
      <c r="L28" s="118"/>
      <c r="M28" s="6"/>
      <c r="N28" s="45"/>
      <c r="O28" s="55">
        <v>2</v>
      </c>
      <c r="P28" s="6">
        <v>2</v>
      </c>
      <c r="Q28" s="6"/>
      <c r="R28" s="6"/>
      <c r="S28" s="6"/>
      <c r="T28" s="45"/>
      <c r="U28" s="6"/>
      <c r="V28" s="6"/>
      <c r="W28" s="45"/>
      <c r="X28" s="6"/>
      <c r="Y28" s="6">
        <v>2</v>
      </c>
      <c r="Z28" s="6"/>
      <c r="AA28" s="6"/>
      <c r="AB28" s="6"/>
      <c r="AC28" s="7">
        <v>0.79567690432229987</v>
      </c>
      <c r="AD28" s="5" t="s">
        <v>208</v>
      </c>
      <c r="AE28" s="47">
        <v>0</v>
      </c>
      <c r="AF28" s="46">
        <v>6</v>
      </c>
      <c r="AG28" s="82"/>
      <c r="AH28" s="100"/>
      <c r="AI28" s="100"/>
      <c r="AJ28" s="130"/>
      <c r="AK28" s="124"/>
      <c r="AL28" s="100"/>
      <c r="AM28" s="140"/>
      <c r="AN28" s="124"/>
      <c r="AO28" s="168"/>
      <c r="AP28" s="124"/>
      <c r="AQ28" s="175"/>
    </row>
    <row r="29" spans="1:43" ht="16.5" customHeight="1" x14ac:dyDescent="0.3">
      <c r="A29" s="50" t="s">
        <v>212</v>
      </c>
      <c r="B29" s="18" t="s">
        <v>213</v>
      </c>
      <c r="C29" s="18" t="s">
        <v>214</v>
      </c>
      <c r="D29" s="19" t="s">
        <v>215</v>
      </c>
      <c r="E29" s="20" t="s">
        <v>207</v>
      </c>
      <c r="F29" s="6">
        <v>2</v>
      </c>
      <c r="G29" s="6"/>
      <c r="H29" s="45"/>
      <c r="I29" s="6"/>
      <c r="J29" s="45">
        <v>2</v>
      </c>
      <c r="K29" s="118">
        <v>2</v>
      </c>
      <c r="L29" s="118">
        <v>2</v>
      </c>
      <c r="M29" s="6"/>
      <c r="N29" s="45">
        <v>2</v>
      </c>
      <c r="O29" s="52">
        <v>0</v>
      </c>
      <c r="P29" s="6"/>
      <c r="Q29" s="6">
        <v>2</v>
      </c>
      <c r="R29" s="6">
        <v>2</v>
      </c>
      <c r="S29" s="6"/>
      <c r="T29" s="45"/>
      <c r="U29" s="6"/>
      <c r="V29" s="6">
        <v>2</v>
      </c>
      <c r="W29" s="45">
        <v>2</v>
      </c>
      <c r="X29" s="6">
        <v>2</v>
      </c>
      <c r="Y29" s="6"/>
      <c r="Z29" s="6">
        <v>2</v>
      </c>
      <c r="AA29" s="6">
        <v>2</v>
      </c>
      <c r="AB29" s="6"/>
      <c r="AC29" s="7">
        <v>0.22399999999999998</v>
      </c>
      <c r="AD29" s="5" t="s">
        <v>208</v>
      </c>
      <c r="AE29" s="47">
        <v>0</v>
      </c>
      <c r="AF29" s="46">
        <v>6</v>
      </c>
      <c r="AG29" s="82"/>
      <c r="AH29" s="100"/>
      <c r="AI29" s="100"/>
      <c r="AJ29" s="130"/>
      <c r="AK29" s="124"/>
      <c r="AL29" s="100"/>
      <c r="AM29" s="140"/>
      <c r="AN29" s="124"/>
      <c r="AO29" s="168"/>
      <c r="AP29" s="124"/>
      <c r="AQ29" s="175"/>
    </row>
    <row r="30" spans="1:43" ht="16.5" customHeight="1" x14ac:dyDescent="0.3">
      <c r="A30" s="50">
        <v>5</v>
      </c>
      <c r="B30" s="18" t="s">
        <v>216</v>
      </c>
      <c r="C30" s="18" t="s">
        <v>217</v>
      </c>
      <c r="D30" s="19" t="s">
        <v>215</v>
      </c>
      <c r="E30" s="20" t="s">
        <v>207</v>
      </c>
      <c r="F30" s="6"/>
      <c r="G30" s="6"/>
      <c r="H30" s="45">
        <v>1</v>
      </c>
      <c r="I30" s="6">
        <v>1</v>
      </c>
      <c r="J30" s="45"/>
      <c r="K30" s="118"/>
      <c r="L30" s="118"/>
      <c r="M30" s="6">
        <v>1</v>
      </c>
      <c r="N30" s="45"/>
      <c r="O30" s="6"/>
      <c r="P30" s="6"/>
      <c r="Q30" s="6"/>
      <c r="R30" s="6"/>
      <c r="S30" s="6"/>
      <c r="T30" s="45">
        <v>1</v>
      </c>
      <c r="U30" s="6">
        <v>1</v>
      </c>
      <c r="V30" s="6"/>
      <c r="W30" s="45"/>
      <c r="X30" s="6"/>
      <c r="Y30" s="6"/>
      <c r="Z30" s="6"/>
      <c r="AA30" s="6"/>
      <c r="AB30" s="6">
        <v>1</v>
      </c>
      <c r="AC30" s="7">
        <v>0.35</v>
      </c>
      <c r="AD30" s="5" t="s">
        <v>208</v>
      </c>
      <c r="AE30" s="47">
        <v>0</v>
      </c>
      <c r="AF30" s="46">
        <v>6</v>
      </c>
      <c r="AG30" s="82"/>
      <c r="AH30" s="100"/>
      <c r="AI30" s="100"/>
      <c r="AJ30" s="130"/>
      <c r="AK30" s="124"/>
      <c r="AL30" s="100"/>
      <c r="AM30" s="140"/>
      <c r="AN30" s="124"/>
      <c r="AO30" s="168"/>
      <c r="AP30" s="124"/>
      <c r="AQ30" s="175"/>
    </row>
    <row r="31" spans="1:43" ht="16.5" customHeight="1" x14ac:dyDescent="0.3">
      <c r="A31" s="48" t="s">
        <v>218</v>
      </c>
      <c r="B31" s="18" t="s">
        <v>219</v>
      </c>
      <c r="C31" s="18" t="s">
        <v>220</v>
      </c>
      <c r="D31" s="19" t="s">
        <v>221</v>
      </c>
      <c r="E31" s="20" t="s">
        <v>222</v>
      </c>
      <c r="F31" s="6">
        <v>1</v>
      </c>
      <c r="G31" s="6"/>
      <c r="H31" s="45"/>
      <c r="I31" s="6"/>
      <c r="J31" s="45"/>
      <c r="K31" s="118"/>
      <c r="L31" s="118"/>
      <c r="M31" s="6"/>
      <c r="N31" s="45"/>
      <c r="O31" s="6">
        <v>1</v>
      </c>
      <c r="P31" s="6"/>
      <c r="Q31" s="6"/>
      <c r="R31" s="6"/>
      <c r="S31" s="6"/>
      <c r="T31" s="45"/>
      <c r="U31" s="6"/>
      <c r="V31" s="6"/>
      <c r="W31" s="45"/>
      <c r="X31" s="6">
        <v>1</v>
      </c>
      <c r="Y31" s="6"/>
      <c r="Z31" s="6"/>
      <c r="AA31" s="6"/>
      <c r="AB31" s="6"/>
      <c r="AC31" s="7">
        <v>3.5139941860022996</v>
      </c>
      <c r="AD31" s="5" t="s">
        <v>822</v>
      </c>
      <c r="AE31" s="47">
        <v>10</v>
      </c>
      <c r="AF31" s="46">
        <v>34</v>
      </c>
      <c r="AG31" s="82"/>
      <c r="AH31" s="100"/>
      <c r="AI31" s="100"/>
      <c r="AJ31" s="130"/>
      <c r="AK31" s="124"/>
      <c r="AL31" s="100"/>
      <c r="AM31" s="140"/>
      <c r="AN31" s="124"/>
      <c r="AO31" s="168"/>
      <c r="AP31" s="124"/>
      <c r="AQ31" s="175"/>
    </row>
    <row r="32" spans="1:43" ht="16.5" customHeight="1" x14ac:dyDescent="0.3">
      <c r="A32" s="48" t="s">
        <v>223</v>
      </c>
      <c r="B32" s="18" t="s">
        <v>224</v>
      </c>
      <c r="C32" s="18" t="s">
        <v>220</v>
      </c>
      <c r="D32" s="19" t="s">
        <v>221</v>
      </c>
      <c r="E32" s="20" t="s">
        <v>225</v>
      </c>
      <c r="F32" s="6">
        <v>1</v>
      </c>
      <c r="G32" s="6"/>
      <c r="H32" s="45"/>
      <c r="I32" s="6"/>
      <c r="J32" s="45"/>
      <c r="K32" s="118"/>
      <c r="L32" s="118"/>
      <c r="M32" s="6"/>
      <c r="N32" s="45"/>
      <c r="O32" s="6">
        <v>1</v>
      </c>
      <c r="P32" s="6"/>
      <c r="Q32" s="6"/>
      <c r="R32" s="6"/>
      <c r="S32" s="6"/>
      <c r="T32" s="45"/>
      <c r="U32" s="6"/>
      <c r="V32" s="6"/>
      <c r="W32" s="45"/>
      <c r="X32" s="6">
        <v>1</v>
      </c>
      <c r="Y32" s="6"/>
      <c r="Z32" s="6"/>
      <c r="AA32" s="6"/>
      <c r="AB32" s="6"/>
      <c r="AC32" s="7">
        <v>5.1280008119940597</v>
      </c>
      <c r="AD32" s="5" t="s">
        <v>822</v>
      </c>
      <c r="AE32" s="47">
        <v>33</v>
      </c>
      <c r="AF32" s="46">
        <v>29</v>
      </c>
      <c r="AG32" s="103">
        <v>10</v>
      </c>
      <c r="AH32" s="100">
        <v>10</v>
      </c>
      <c r="AI32" s="100"/>
      <c r="AJ32" s="150">
        <v>10</v>
      </c>
      <c r="AK32" s="124"/>
      <c r="AL32" s="100"/>
      <c r="AM32" s="140">
        <v>10</v>
      </c>
      <c r="AN32" s="124"/>
      <c r="AO32" s="168"/>
      <c r="AP32" s="124"/>
      <c r="AQ32" s="175"/>
    </row>
    <row r="33" spans="1:43" ht="16.5" customHeight="1" x14ac:dyDescent="0.3">
      <c r="A33" s="48" t="s">
        <v>226</v>
      </c>
      <c r="B33" s="18" t="s">
        <v>227</v>
      </c>
      <c r="C33" s="18" t="s">
        <v>220</v>
      </c>
      <c r="D33" s="19" t="s">
        <v>221</v>
      </c>
      <c r="E33" s="20" t="s">
        <v>228</v>
      </c>
      <c r="F33" s="6">
        <v>2</v>
      </c>
      <c r="G33" s="6">
        <v>4</v>
      </c>
      <c r="H33" s="45">
        <v>2</v>
      </c>
      <c r="I33" s="6">
        <v>2</v>
      </c>
      <c r="J33" s="45"/>
      <c r="K33" s="118"/>
      <c r="L33" s="118"/>
      <c r="M33" s="6">
        <v>2</v>
      </c>
      <c r="N33" s="45"/>
      <c r="O33" s="6">
        <v>2</v>
      </c>
      <c r="P33" s="6">
        <v>4</v>
      </c>
      <c r="Q33" s="6"/>
      <c r="R33" s="6"/>
      <c r="S33" s="6"/>
      <c r="T33" s="45">
        <v>2</v>
      </c>
      <c r="U33" s="6">
        <v>2</v>
      </c>
      <c r="V33" s="6"/>
      <c r="W33" s="45"/>
      <c r="X33" s="6">
        <v>2</v>
      </c>
      <c r="Y33" s="6">
        <v>4</v>
      </c>
      <c r="Z33" s="6"/>
      <c r="AA33" s="6"/>
      <c r="AB33" s="6">
        <v>2</v>
      </c>
      <c r="AC33" s="7">
        <v>3.4020000000000001</v>
      </c>
      <c r="AD33" s="5" t="s">
        <v>822</v>
      </c>
      <c r="AE33" s="47">
        <v>22</v>
      </c>
      <c r="AF33" s="46">
        <v>170</v>
      </c>
      <c r="AG33" s="82"/>
      <c r="AH33" s="100"/>
      <c r="AI33" s="100"/>
      <c r="AJ33" s="130"/>
      <c r="AK33" s="124"/>
      <c r="AL33" s="100"/>
      <c r="AM33" s="140"/>
      <c r="AN33" s="124"/>
      <c r="AO33" s="168"/>
      <c r="AP33" s="124"/>
      <c r="AQ33" s="175"/>
    </row>
    <row r="34" spans="1:43" ht="16.5" customHeight="1" x14ac:dyDescent="0.3">
      <c r="A34" s="48">
        <v>14</v>
      </c>
      <c r="B34" s="60" t="s">
        <v>345</v>
      </c>
      <c r="C34" s="18" t="s">
        <v>348</v>
      </c>
      <c r="D34" s="19" t="s">
        <v>221</v>
      </c>
      <c r="E34" s="61" t="s">
        <v>222</v>
      </c>
      <c r="F34" s="6"/>
      <c r="G34" s="6"/>
      <c r="H34" s="45"/>
      <c r="I34" s="6"/>
      <c r="J34" s="45">
        <v>1</v>
      </c>
      <c r="K34" s="118">
        <v>1</v>
      </c>
      <c r="L34" s="118"/>
      <c r="M34" s="6"/>
      <c r="N34" s="45">
        <v>1</v>
      </c>
      <c r="O34" s="6"/>
      <c r="P34" s="6"/>
      <c r="Q34" s="6"/>
      <c r="R34" s="6">
        <v>1</v>
      </c>
      <c r="S34" s="6"/>
      <c r="T34" s="45"/>
      <c r="U34" s="6"/>
      <c r="V34" s="6">
        <v>1</v>
      </c>
      <c r="W34" s="45">
        <v>1</v>
      </c>
      <c r="X34" s="6"/>
      <c r="Y34" s="6"/>
      <c r="Z34" s="6">
        <v>1</v>
      </c>
      <c r="AA34" s="6"/>
      <c r="AB34" s="6"/>
      <c r="AC34" s="7">
        <v>2.59</v>
      </c>
      <c r="AD34" s="5" t="s">
        <v>822</v>
      </c>
      <c r="AE34" s="47">
        <v>0</v>
      </c>
      <c r="AF34" s="46">
        <v>5</v>
      </c>
      <c r="AG34" s="103">
        <v>5</v>
      </c>
      <c r="AH34" s="100">
        <v>5</v>
      </c>
      <c r="AI34" s="100"/>
      <c r="AJ34" s="150">
        <v>10</v>
      </c>
      <c r="AK34" s="124"/>
      <c r="AL34" s="100"/>
      <c r="AM34" s="140">
        <v>10</v>
      </c>
      <c r="AN34" s="124"/>
      <c r="AO34" s="168"/>
      <c r="AP34" s="124"/>
      <c r="AQ34" s="175"/>
    </row>
    <row r="35" spans="1:43" ht="16.5" customHeight="1" x14ac:dyDescent="0.3">
      <c r="A35" s="48">
        <v>15</v>
      </c>
      <c r="B35" s="60" t="s">
        <v>346</v>
      </c>
      <c r="C35" s="18" t="s">
        <v>348</v>
      </c>
      <c r="D35" s="19" t="s">
        <v>221</v>
      </c>
      <c r="E35" s="20" t="s">
        <v>228</v>
      </c>
      <c r="F35" s="6"/>
      <c r="G35" s="6"/>
      <c r="H35" s="45"/>
      <c r="I35" s="6"/>
      <c r="J35" s="45">
        <v>2</v>
      </c>
      <c r="K35" s="118">
        <v>2</v>
      </c>
      <c r="L35" s="118">
        <v>4</v>
      </c>
      <c r="M35" s="6"/>
      <c r="N35" s="45">
        <v>2</v>
      </c>
      <c r="O35" s="6"/>
      <c r="P35" s="6"/>
      <c r="Q35" s="6">
        <v>4</v>
      </c>
      <c r="R35" s="6">
        <v>2</v>
      </c>
      <c r="S35" s="6"/>
      <c r="T35" s="45"/>
      <c r="U35" s="6"/>
      <c r="V35" s="6">
        <v>2</v>
      </c>
      <c r="W35" s="45">
        <v>2</v>
      </c>
      <c r="X35" s="6"/>
      <c r="Y35" s="6"/>
      <c r="Z35" s="6">
        <v>2</v>
      </c>
      <c r="AA35" s="6">
        <v>4</v>
      </c>
      <c r="AB35" s="6"/>
      <c r="AC35" s="7">
        <v>3</v>
      </c>
      <c r="AD35" s="5" t="s">
        <v>822</v>
      </c>
      <c r="AE35" s="47">
        <v>0</v>
      </c>
      <c r="AF35" s="46">
        <v>8</v>
      </c>
      <c r="AG35" s="103">
        <v>8</v>
      </c>
      <c r="AH35" s="100">
        <v>8</v>
      </c>
      <c r="AI35" s="100"/>
      <c r="AJ35" s="150">
        <v>10</v>
      </c>
      <c r="AK35" s="103">
        <v>5</v>
      </c>
      <c r="AL35" s="100">
        <v>5</v>
      </c>
      <c r="AM35" s="140">
        <v>10</v>
      </c>
      <c r="AN35" s="124"/>
      <c r="AO35" s="168"/>
      <c r="AP35" s="179">
        <v>10</v>
      </c>
      <c r="AQ35" s="103">
        <v>10</v>
      </c>
    </row>
    <row r="36" spans="1:43" ht="16.5" customHeight="1" x14ac:dyDescent="0.3">
      <c r="A36" s="48">
        <v>16</v>
      </c>
      <c r="B36" s="60" t="s">
        <v>347</v>
      </c>
      <c r="C36" s="18" t="s">
        <v>348</v>
      </c>
      <c r="D36" s="19" t="s">
        <v>221</v>
      </c>
      <c r="E36" s="61" t="s">
        <v>225</v>
      </c>
      <c r="F36" s="6"/>
      <c r="G36" s="6"/>
      <c r="H36" s="45"/>
      <c r="I36" s="6"/>
      <c r="J36" s="45">
        <v>1</v>
      </c>
      <c r="K36" s="118">
        <v>1</v>
      </c>
      <c r="L36" s="118"/>
      <c r="M36" s="6"/>
      <c r="N36" s="45">
        <v>1</v>
      </c>
      <c r="O36" s="6"/>
      <c r="P36" s="6"/>
      <c r="Q36" s="6"/>
      <c r="R36" s="6">
        <v>1</v>
      </c>
      <c r="S36" s="6"/>
      <c r="T36" s="45"/>
      <c r="U36" s="6"/>
      <c r="V36" s="6">
        <v>1</v>
      </c>
      <c r="W36" s="45">
        <v>1</v>
      </c>
      <c r="X36" s="6"/>
      <c r="Y36" s="6"/>
      <c r="Z36" s="6">
        <v>1</v>
      </c>
      <c r="AA36" s="6"/>
      <c r="AB36" s="6"/>
      <c r="AC36" s="7">
        <v>3.8359999999999999</v>
      </c>
      <c r="AD36" s="5" t="s">
        <v>822</v>
      </c>
      <c r="AE36" s="47">
        <v>0</v>
      </c>
      <c r="AF36" s="46">
        <v>6</v>
      </c>
      <c r="AG36" s="103">
        <v>6</v>
      </c>
      <c r="AH36" s="100">
        <v>6</v>
      </c>
      <c r="AI36" s="100"/>
      <c r="AJ36" s="150">
        <v>25</v>
      </c>
      <c r="AK36" s="103">
        <v>5</v>
      </c>
      <c r="AL36" s="100">
        <v>5</v>
      </c>
      <c r="AM36" s="140">
        <v>25</v>
      </c>
      <c r="AN36" s="124"/>
      <c r="AO36" s="168"/>
      <c r="AP36" s="124"/>
      <c r="AQ36" s="175"/>
    </row>
    <row r="37" spans="1:43" ht="16.5" customHeight="1" x14ac:dyDescent="0.3">
      <c r="A37" s="48" t="s">
        <v>229</v>
      </c>
      <c r="B37" s="60" t="s">
        <v>230</v>
      </c>
      <c r="C37" s="18" t="s">
        <v>231</v>
      </c>
      <c r="D37" s="19" t="s">
        <v>232</v>
      </c>
      <c r="E37" s="20" t="s">
        <v>233</v>
      </c>
      <c r="F37" s="6">
        <v>1</v>
      </c>
      <c r="G37" s="6"/>
      <c r="H37" s="45"/>
      <c r="I37" s="6"/>
      <c r="J37" s="45">
        <v>1</v>
      </c>
      <c r="K37" s="118">
        <v>1</v>
      </c>
      <c r="L37" s="118"/>
      <c r="M37" s="6"/>
      <c r="N37" s="45">
        <v>1</v>
      </c>
      <c r="O37" s="6">
        <v>1</v>
      </c>
      <c r="P37" s="6"/>
      <c r="Q37" s="6"/>
      <c r="R37" s="6">
        <v>1</v>
      </c>
      <c r="S37" s="6"/>
      <c r="T37" s="45"/>
      <c r="U37" s="6"/>
      <c r="V37" s="6">
        <v>1</v>
      </c>
      <c r="W37" s="45">
        <v>1</v>
      </c>
      <c r="X37" s="6">
        <v>1</v>
      </c>
      <c r="Y37" s="6"/>
      <c r="Z37" s="6">
        <v>1</v>
      </c>
      <c r="AA37" s="6"/>
      <c r="AB37" s="6"/>
      <c r="AC37" s="7">
        <v>2.09</v>
      </c>
      <c r="AD37" s="5" t="s">
        <v>1</v>
      </c>
      <c r="AE37" s="47">
        <v>38</v>
      </c>
      <c r="AF37" s="46">
        <v>29</v>
      </c>
      <c r="AG37" s="103">
        <v>20</v>
      </c>
      <c r="AH37" s="100">
        <v>20</v>
      </c>
      <c r="AI37" s="100"/>
      <c r="AJ37" s="150">
        <v>30</v>
      </c>
      <c r="AK37" s="103">
        <v>10</v>
      </c>
      <c r="AL37" s="100">
        <v>10</v>
      </c>
      <c r="AM37" s="140">
        <v>30</v>
      </c>
      <c r="AN37" s="103">
        <v>20</v>
      </c>
      <c r="AO37" s="168">
        <v>20</v>
      </c>
      <c r="AP37" s="179">
        <v>15</v>
      </c>
      <c r="AQ37" s="103">
        <v>15</v>
      </c>
    </row>
    <row r="38" spans="1:43" ht="16.5" customHeight="1" x14ac:dyDescent="0.3">
      <c r="A38" s="43">
        <v>17</v>
      </c>
      <c r="B38" s="44" t="s">
        <v>234</v>
      </c>
      <c r="C38" s="18" t="s">
        <v>231</v>
      </c>
      <c r="D38" s="19" t="s">
        <v>232</v>
      </c>
      <c r="E38" s="20" t="s">
        <v>233</v>
      </c>
      <c r="F38" s="6"/>
      <c r="G38" s="6">
        <v>1</v>
      </c>
      <c r="H38" s="45"/>
      <c r="I38" s="6"/>
      <c r="J38" s="45"/>
      <c r="K38" s="118"/>
      <c r="L38" s="118">
        <v>1</v>
      </c>
      <c r="M38" s="6"/>
      <c r="N38" s="45"/>
      <c r="O38" s="6"/>
      <c r="P38" s="6">
        <v>1</v>
      </c>
      <c r="Q38" s="6">
        <v>1</v>
      </c>
      <c r="R38" s="6"/>
      <c r="S38" s="6"/>
      <c r="T38" s="45"/>
      <c r="U38" s="6"/>
      <c r="V38" s="6"/>
      <c r="W38" s="45"/>
      <c r="X38" s="6"/>
      <c r="Y38" s="6">
        <v>1</v>
      </c>
      <c r="Z38" s="6"/>
      <c r="AA38" s="6">
        <v>1</v>
      </c>
      <c r="AB38" s="6"/>
      <c r="AC38" s="7">
        <v>2.92</v>
      </c>
      <c r="AD38" s="5" t="s">
        <v>1</v>
      </c>
      <c r="AE38" s="47">
        <v>17</v>
      </c>
      <c r="AF38" s="46">
        <v>14</v>
      </c>
      <c r="AG38" s="103">
        <v>5</v>
      </c>
      <c r="AH38" s="100">
        <v>5</v>
      </c>
      <c r="AI38" s="100"/>
      <c r="AJ38" s="130"/>
      <c r="AK38" s="103">
        <v>5</v>
      </c>
      <c r="AL38" s="100">
        <v>5</v>
      </c>
      <c r="AM38" s="140"/>
      <c r="AN38" s="124"/>
      <c r="AO38" s="168"/>
      <c r="AP38" s="179">
        <v>4</v>
      </c>
      <c r="AQ38" s="103">
        <v>4</v>
      </c>
    </row>
    <row r="39" spans="1:43" ht="16.5" customHeight="1" x14ac:dyDescent="0.3">
      <c r="A39" s="43">
        <v>11</v>
      </c>
      <c r="B39" s="44" t="s">
        <v>235</v>
      </c>
      <c r="C39" s="18" t="s">
        <v>231</v>
      </c>
      <c r="D39" s="19" t="s">
        <v>232</v>
      </c>
      <c r="E39" s="20" t="s">
        <v>233</v>
      </c>
      <c r="F39" s="6"/>
      <c r="G39" s="6"/>
      <c r="H39" s="45">
        <v>1</v>
      </c>
      <c r="I39" s="6">
        <v>1</v>
      </c>
      <c r="J39" s="45"/>
      <c r="K39" s="118"/>
      <c r="L39" s="118"/>
      <c r="M39" s="6">
        <v>1</v>
      </c>
      <c r="N39" s="45"/>
      <c r="O39" s="6"/>
      <c r="P39" s="6"/>
      <c r="Q39" s="6"/>
      <c r="R39" s="6"/>
      <c r="S39" s="6"/>
      <c r="T39" s="45">
        <v>1</v>
      </c>
      <c r="U39" s="6">
        <v>1</v>
      </c>
      <c r="V39" s="6"/>
      <c r="W39" s="45"/>
      <c r="X39" s="6"/>
      <c r="Y39" s="6"/>
      <c r="Z39" s="6"/>
      <c r="AA39" s="6"/>
      <c r="AB39" s="6">
        <v>1</v>
      </c>
      <c r="AC39" s="7">
        <v>1.87</v>
      </c>
      <c r="AD39" s="5" t="s">
        <v>1</v>
      </c>
      <c r="AE39" s="47">
        <v>2</v>
      </c>
      <c r="AF39" s="46">
        <v>14</v>
      </c>
      <c r="AG39" s="82"/>
      <c r="AH39" s="100"/>
      <c r="AI39" s="100"/>
      <c r="AJ39" s="130"/>
      <c r="AK39" s="124"/>
      <c r="AL39" s="100"/>
      <c r="AM39" s="140"/>
      <c r="AN39" s="124"/>
      <c r="AO39" s="168"/>
      <c r="AP39" s="179">
        <v>2</v>
      </c>
      <c r="AQ39" s="103">
        <v>2</v>
      </c>
    </row>
    <row r="40" spans="1:43" ht="16.5" customHeight="1" x14ac:dyDescent="0.3">
      <c r="A40" s="48" t="s">
        <v>236</v>
      </c>
      <c r="B40" s="64" t="s">
        <v>237</v>
      </c>
      <c r="C40" s="18" t="s">
        <v>238</v>
      </c>
      <c r="D40" s="19" t="s">
        <v>239</v>
      </c>
      <c r="E40" s="20" t="s">
        <v>240</v>
      </c>
      <c r="F40" s="52">
        <v>1</v>
      </c>
      <c r="G40" s="6"/>
      <c r="H40" s="45"/>
      <c r="I40" s="6"/>
      <c r="J40" s="45"/>
      <c r="K40" s="118"/>
      <c r="L40" s="118"/>
      <c r="M40" s="6"/>
      <c r="N40" s="45"/>
      <c r="O40" s="52">
        <v>1</v>
      </c>
      <c r="P40" s="6"/>
      <c r="Q40" s="6"/>
      <c r="R40" s="6"/>
      <c r="S40" s="6"/>
      <c r="T40" s="45"/>
      <c r="U40" s="6"/>
      <c r="V40" s="6"/>
      <c r="W40" s="45"/>
      <c r="X40" s="52">
        <v>1</v>
      </c>
      <c r="Y40" s="6"/>
      <c r="Z40" s="6"/>
      <c r="AA40" s="6"/>
      <c r="AB40" s="6"/>
      <c r="AC40" s="7">
        <v>12</v>
      </c>
      <c r="AD40" s="5" t="s">
        <v>1</v>
      </c>
      <c r="AE40" s="83">
        <v>324</v>
      </c>
      <c r="AF40" s="84">
        <v>43</v>
      </c>
      <c r="AG40" s="103" t="s">
        <v>701</v>
      </c>
      <c r="AH40" s="100">
        <v>70</v>
      </c>
      <c r="AI40" s="100"/>
      <c r="AJ40" s="150">
        <v>100</v>
      </c>
      <c r="AK40" s="124"/>
      <c r="AL40" s="100"/>
      <c r="AM40" s="140">
        <v>60</v>
      </c>
      <c r="AN40" s="103">
        <v>50</v>
      </c>
      <c r="AO40" s="168">
        <v>50</v>
      </c>
      <c r="AP40" s="179">
        <v>20</v>
      </c>
      <c r="AQ40" s="103">
        <v>20</v>
      </c>
    </row>
    <row r="41" spans="1:43" ht="16.5" customHeight="1" x14ac:dyDescent="0.3">
      <c r="A41" s="48" t="s">
        <v>236</v>
      </c>
      <c r="B41" s="60" t="s">
        <v>621</v>
      </c>
      <c r="C41" s="18" t="s">
        <v>238</v>
      </c>
      <c r="D41" s="19" t="s">
        <v>239</v>
      </c>
      <c r="E41" s="20" t="s">
        <v>240</v>
      </c>
      <c r="F41" s="55">
        <v>1</v>
      </c>
      <c r="G41" s="6"/>
      <c r="H41" s="45"/>
      <c r="I41" s="6"/>
      <c r="J41" s="45"/>
      <c r="K41" s="118"/>
      <c r="L41" s="118"/>
      <c r="M41" s="6"/>
      <c r="N41" s="45"/>
      <c r="O41" s="55">
        <v>1</v>
      </c>
      <c r="P41" s="6"/>
      <c r="Q41" s="6"/>
      <c r="R41" s="6"/>
      <c r="S41" s="6"/>
      <c r="T41" s="45"/>
      <c r="U41" s="6"/>
      <c r="V41" s="6"/>
      <c r="W41" s="45"/>
      <c r="X41" s="55">
        <v>1</v>
      </c>
      <c r="Y41" s="6"/>
      <c r="Z41" s="6"/>
      <c r="AA41" s="6"/>
      <c r="AB41" s="6"/>
      <c r="AC41" s="7">
        <v>13.17</v>
      </c>
      <c r="AD41" s="5" t="s">
        <v>1</v>
      </c>
      <c r="AE41" s="56">
        <v>0</v>
      </c>
      <c r="AF41" s="57">
        <v>20</v>
      </c>
      <c r="AG41" s="103">
        <v>20</v>
      </c>
      <c r="AH41" s="100">
        <v>20</v>
      </c>
      <c r="AI41" s="100"/>
      <c r="AJ41" s="130"/>
      <c r="AK41" s="124"/>
      <c r="AL41" s="100"/>
      <c r="AM41" s="140"/>
      <c r="AN41" s="103">
        <v>5</v>
      </c>
      <c r="AO41" s="168">
        <v>5</v>
      </c>
      <c r="AP41" s="124"/>
      <c r="AQ41" s="175"/>
    </row>
    <row r="42" spans="1:43" ht="16.5" customHeight="1" x14ac:dyDescent="0.3">
      <c r="A42" s="48" t="s">
        <v>241</v>
      </c>
      <c r="B42" s="64" t="s">
        <v>242</v>
      </c>
      <c r="C42" s="18" t="s">
        <v>238</v>
      </c>
      <c r="D42" s="19" t="s">
        <v>239</v>
      </c>
      <c r="E42" s="20" t="s">
        <v>243</v>
      </c>
      <c r="F42" s="52">
        <v>1</v>
      </c>
      <c r="G42" s="52">
        <v>2</v>
      </c>
      <c r="H42" s="45"/>
      <c r="I42" s="6"/>
      <c r="J42" s="45"/>
      <c r="K42" s="118"/>
      <c r="L42" s="118"/>
      <c r="M42" s="6"/>
      <c r="N42" s="45"/>
      <c r="O42" s="52">
        <v>1</v>
      </c>
      <c r="P42" s="52">
        <v>2</v>
      </c>
      <c r="Q42" s="6"/>
      <c r="R42" s="6"/>
      <c r="S42" s="6"/>
      <c r="T42" s="45"/>
      <c r="U42" s="6"/>
      <c r="V42" s="6"/>
      <c r="W42" s="45"/>
      <c r="X42" s="52">
        <v>1</v>
      </c>
      <c r="Y42" s="52">
        <v>2</v>
      </c>
      <c r="Z42" s="6"/>
      <c r="AA42" s="6"/>
      <c r="AB42" s="6"/>
      <c r="AC42" s="7">
        <v>9.35</v>
      </c>
      <c r="AD42" s="5" t="s">
        <v>1</v>
      </c>
      <c r="AE42" s="83">
        <v>93</v>
      </c>
      <c r="AF42" s="84">
        <v>9</v>
      </c>
      <c r="AG42" s="103">
        <v>28</v>
      </c>
      <c r="AH42" s="100">
        <v>28</v>
      </c>
      <c r="AI42" s="100"/>
      <c r="AJ42" s="150">
        <v>20</v>
      </c>
      <c r="AK42" s="103">
        <v>15</v>
      </c>
      <c r="AL42" s="100">
        <v>15</v>
      </c>
      <c r="AM42" s="140">
        <v>20</v>
      </c>
      <c r="AN42" s="124"/>
      <c r="AO42" s="168"/>
      <c r="AP42" s="179">
        <v>10</v>
      </c>
      <c r="AQ42" s="103" t="s">
        <v>1053</v>
      </c>
    </row>
    <row r="43" spans="1:43" ht="16.5" customHeight="1" x14ac:dyDescent="0.3">
      <c r="A43" s="48" t="s">
        <v>241</v>
      </c>
      <c r="B43" s="60" t="s">
        <v>622</v>
      </c>
      <c r="C43" s="18" t="s">
        <v>238</v>
      </c>
      <c r="D43" s="19" t="s">
        <v>239</v>
      </c>
      <c r="E43" s="20" t="s">
        <v>243</v>
      </c>
      <c r="F43" s="55">
        <v>1</v>
      </c>
      <c r="G43" s="55">
        <v>2</v>
      </c>
      <c r="H43" s="45"/>
      <c r="I43" s="6"/>
      <c r="J43" s="45"/>
      <c r="K43" s="118"/>
      <c r="L43" s="118"/>
      <c r="M43" s="6"/>
      <c r="N43" s="45"/>
      <c r="O43" s="55">
        <v>1</v>
      </c>
      <c r="P43" s="55">
        <v>2</v>
      </c>
      <c r="Q43" s="6"/>
      <c r="R43" s="6"/>
      <c r="S43" s="6"/>
      <c r="T43" s="45"/>
      <c r="U43" s="6"/>
      <c r="V43" s="6"/>
      <c r="W43" s="45"/>
      <c r="X43" s="55">
        <v>1</v>
      </c>
      <c r="Y43" s="55">
        <v>2</v>
      </c>
      <c r="Z43" s="6"/>
      <c r="AA43" s="6"/>
      <c r="AB43" s="6"/>
      <c r="AC43" s="7">
        <v>13.09</v>
      </c>
      <c r="AD43" s="5" t="s">
        <v>1</v>
      </c>
      <c r="AE43" s="56">
        <v>0</v>
      </c>
      <c r="AF43" s="57">
        <v>26</v>
      </c>
      <c r="AG43" s="103">
        <v>26</v>
      </c>
      <c r="AH43" s="100">
        <v>26</v>
      </c>
      <c r="AI43" s="100"/>
      <c r="AJ43" s="130"/>
      <c r="AK43" s="103">
        <v>5</v>
      </c>
      <c r="AL43" s="100">
        <v>5</v>
      </c>
      <c r="AM43" s="140"/>
      <c r="AN43" s="103">
        <v>10</v>
      </c>
      <c r="AO43" s="168">
        <v>10</v>
      </c>
      <c r="AP43" s="124"/>
      <c r="AQ43" s="175"/>
    </row>
    <row r="44" spans="1:43" ht="16.5" customHeight="1" x14ac:dyDescent="0.3">
      <c r="A44" s="48">
        <v>4</v>
      </c>
      <c r="B44" s="60" t="s">
        <v>333</v>
      </c>
      <c r="C44" s="18" t="s">
        <v>238</v>
      </c>
      <c r="D44" s="19" t="s">
        <v>239</v>
      </c>
      <c r="E44" s="20" t="s">
        <v>240</v>
      </c>
      <c r="F44" s="6"/>
      <c r="G44" s="6"/>
      <c r="H44" s="45"/>
      <c r="I44" s="6"/>
      <c r="J44" s="45">
        <v>1</v>
      </c>
      <c r="K44" s="118">
        <v>1</v>
      </c>
      <c r="L44" s="118"/>
      <c r="M44" s="6"/>
      <c r="N44" s="45">
        <v>1</v>
      </c>
      <c r="O44" s="6"/>
      <c r="P44" s="6"/>
      <c r="Q44" s="6"/>
      <c r="R44" s="6">
        <v>1</v>
      </c>
      <c r="S44" s="6"/>
      <c r="T44" s="45"/>
      <c r="U44" s="6"/>
      <c r="V44" s="6">
        <v>1</v>
      </c>
      <c r="W44" s="45">
        <v>1</v>
      </c>
      <c r="X44" s="6"/>
      <c r="Y44" s="6"/>
      <c r="Z44" s="6">
        <v>1</v>
      </c>
      <c r="AA44" s="6"/>
      <c r="AB44" s="6"/>
      <c r="AC44" s="7">
        <v>12.529999999999998</v>
      </c>
      <c r="AD44" s="5" t="s">
        <v>1</v>
      </c>
      <c r="AE44" s="47">
        <v>0</v>
      </c>
      <c r="AF44" s="46">
        <v>6</v>
      </c>
      <c r="AG44" s="103">
        <v>6</v>
      </c>
      <c r="AH44" s="100">
        <v>6</v>
      </c>
      <c r="AI44" s="100"/>
      <c r="AJ44" s="150">
        <v>35</v>
      </c>
      <c r="AK44" s="103">
        <v>20</v>
      </c>
      <c r="AL44" s="100">
        <v>20</v>
      </c>
      <c r="AM44" s="140">
        <v>35</v>
      </c>
      <c r="AN44" s="124"/>
      <c r="AO44" s="168"/>
      <c r="AP44" s="124"/>
      <c r="AQ44" s="175"/>
    </row>
    <row r="45" spans="1:43" ht="16.5" customHeight="1" x14ac:dyDescent="0.3">
      <c r="A45" s="48">
        <v>5</v>
      </c>
      <c r="B45" s="60" t="s">
        <v>334</v>
      </c>
      <c r="C45" s="18" t="s">
        <v>238</v>
      </c>
      <c r="D45" s="19" t="s">
        <v>239</v>
      </c>
      <c r="E45" s="20" t="s">
        <v>243</v>
      </c>
      <c r="F45" s="6"/>
      <c r="G45" s="6"/>
      <c r="H45" s="45"/>
      <c r="I45" s="6"/>
      <c r="J45" s="45">
        <v>1</v>
      </c>
      <c r="K45" s="118">
        <v>1</v>
      </c>
      <c r="L45" s="118">
        <v>2</v>
      </c>
      <c r="M45" s="6"/>
      <c r="N45" s="45">
        <v>1</v>
      </c>
      <c r="O45" s="6"/>
      <c r="P45" s="6"/>
      <c r="Q45" s="6">
        <v>2</v>
      </c>
      <c r="R45" s="6">
        <v>1</v>
      </c>
      <c r="S45" s="6"/>
      <c r="T45" s="45"/>
      <c r="U45" s="6"/>
      <c r="V45" s="6">
        <v>1</v>
      </c>
      <c r="W45" s="45">
        <v>1</v>
      </c>
      <c r="X45" s="6"/>
      <c r="Y45" s="6"/>
      <c r="Z45" s="6">
        <v>1</v>
      </c>
      <c r="AA45" s="6">
        <v>2</v>
      </c>
      <c r="AB45" s="6"/>
      <c r="AC45" s="7">
        <v>12.432</v>
      </c>
      <c r="AD45" s="5" t="s">
        <v>1</v>
      </c>
      <c r="AE45" s="47">
        <v>0</v>
      </c>
      <c r="AF45" s="46">
        <v>6</v>
      </c>
      <c r="AG45" s="103">
        <v>6</v>
      </c>
      <c r="AH45" s="100">
        <v>6</v>
      </c>
      <c r="AI45" s="100"/>
      <c r="AJ45" s="150">
        <v>35</v>
      </c>
      <c r="AK45" s="103">
        <v>50</v>
      </c>
      <c r="AL45" s="100">
        <v>50</v>
      </c>
      <c r="AM45" s="140">
        <v>35</v>
      </c>
      <c r="AN45" s="124"/>
      <c r="AO45" s="168"/>
      <c r="AP45" s="124"/>
      <c r="AQ45" s="175"/>
    </row>
    <row r="46" spans="1:43" ht="16.5" customHeight="1" x14ac:dyDescent="0.3">
      <c r="A46" s="48">
        <v>13</v>
      </c>
      <c r="B46" s="18" t="s">
        <v>244</v>
      </c>
      <c r="C46" s="18" t="s">
        <v>238</v>
      </c>
      <c r="D46" s="19" t="s">
        <v>239</v>
      </c>
      <c r="E46" s="20" t="s">
        <v>245</v>
      </c>
      <c r="F46" s="6"/>
      <c r="G46" s="6"/>
      <c r="H46" s="31">
        <v>1</v>
      </c>
      <c r="I46" s="6"/>
      <c r="J46" s="45"/>
      <c r="K46" s="118"/>
      <c r="L46" s="118"/>
      <c r="M46" s="6"/>
      <c r="N46" s="45"/>
      <c r="O46" s="6"/>
      <c r="P46" s="6"/>
      <c r="Q46" s="6"/>
      <c r="R46" s="6"/>
      <c r="S46" s="6"/>
      <c r="T46" s="31">
        <v>1</v>
      </c>
      <c r="U46" s="6"/>
      <c r="V46" s="6"/>
      <c r="W46" s="45"/>
      <c r="X46" s="6"/>
      <c r="Y46" s="6"/>
      <c r="Z46" s="6"/>
      <c r="AA46" s="6"/>
      <c r="AB46" s="31">
        <v>1</v>
      </c>
      <c r="AC46" s="7">
        <v>18</v>
      </c>
      <c r="AD46" s="5" t="s">
        <v>1</v>
      </c>
      <c r="AE46" s="85">
        <v>6</v>
      </c>
      <c r="AF46" s="84">
        <v>10</v>
      </c>
      <c r="AG46" s="82"/>
      <c r="AH46" s="100"/>
      <c r="AI46" s="100"/>
      <c r="AJ46" s="150">
        <v>5</v>
      </c>
      <c r="AK46" s="124"/>
      <c r="AL46" s="100"/>
      <c r="AM46" s="140">
        <v>5</v>
      </c>
      <c r="AN46" s="124"/>
      <c r="AO46" s="168"/>
      <c r="AP46" s="179">
        <v>4</v>
      </c>
      <c r="AQ46" s="103">
        <v>4</v>
      </c>
    </row>
    <row r="47" spans="1:43" ht="16.5" customHeight="1" x14ac:dyDescent="0.3">
      <c r="A47" s="48">
        <v>13</v>
      </c>
      <c r="B47" s="60" t="s">
        <v>327</v>
      </c>
      <c r="C47" s="18" t="s">
        <v>238</v>
      </c>
      <c r="D47" s="19" t="s">
        <v>239</v>
      </c>
      <c r="E47" s="20" t="s">
        <v>245</v>
      </c>
      <c r="F47" s="6"/>
      <c r="G47" s="6"/>
      <c r="H47" s="79">
        <v>1</v>
      </c>
      <c r="I47" s="6">
        <v>1</v>
      </c>
      <c r="J47" s="45"/>
      <c r="K47" s="118"/>
      <c r="L47" s="118"/>
      <c r="M47" s="6">
        <v>1</v>
      </c>
      <c r="N47" s="45"/>
      <c r="O47" s="6"/>
      <c r="P47" s="6"/>
      <c r="Q47" s="6"/>
      <c r="R47" s="6"/>
      <c r="S47" s="6"/>
      <c r="T47" s="79">
        <v>1</v>
      </c>
      <c r="U47" s="6">
        <v>1</v>
      </c>
      <c r="V47" s="6"/>
      <c r="W47" s="45"/>
      <c r="X47" s="6"/>
      <c r="Y47" s="6"/>
      <c r="Z47" s="6"/>
      <c r="AA47" s="6"/>
      <c r="AB47" s="79">
        <v>1</v>
      </c>
      <c r="AC47" s="7">
        <v>16.155999999999999</v>
      </c>
      <c r="AD47" s="5" t="s">
        <v>1</v>
      </c>
      <c r="AE47" s="56">
        <v>0</v>
      </c>
      <c r="AF47" s="57">
        <v>11</v>
      </c>
      <c r="AG47" s="103">
        <v>11</v>
      </c>
      <c r="AH47" s="100">
        <v>11</v>
      </c>
      <c r="AI47" s="100"/>
      <c r="AJ47" s="150">
        <v>20</v>
      </c>
      <c r="AK47" s="124"/>
      <c r="AL47" s="100"/>
      <c r="AM47" s="140">
        <v>20</v>
      </c>
      <c r="AN47" s="124"/>
      <c r="AO47" s="168"/>
      <c r="AP47" s="124"/>
      <c r="AQ47" s="175"/>
    </row>
    <row r="48" spans="1:43" ht="16.5" customHeight="1" x14ac:dyDescent="0.3">
      <c r="A48" s="58" t="s">
        <v>246</v>
      </c>
      <c r="B48" s="64" t="s">
        <v>247</v>
      </c>
      <c r="C48" s="65" t="s">
        <v>248</v>
      </c>
      <c r="D48" s="66" t="s">
        <v>249</v>
      </c>
      <c r="E48" s="67" t="s">
        <v>250</v>
      </c>
      <c r="F48" s="52"/>
      <c r="G48" s="52"/>
      <c r="H48" s="31"/>
      <c r="I48" s="52"/>
      <c r="J48" s="31"/>
      <c r="K48" s="119"/>
      <c r="L48" s="119"/>
      <c r="M48" s="52"/>
      <c r="N48" s="31"/>
      <c r="O48" s="52"/>
      <c r="P48" s="52"/>
      <c r="Q48" s="52"/>
      <c r="R48" s="52"/>
      <c r="S48" s="52"/>
      <c r="T48" s="31"/>
      <c r="U48" s="52"/>
      <c r="V48" s="52"/>
      <c r="W48" s="31"/>
      <c r="X48" s="52"/>
      <c r="Y48" s="52"/>
      <c r="Z48" s="52"/>
      <c r="AA48" s="52"/>
      <c r="AB48" s="52"/>
      <c r="AC48" s="68">
        <v>9.2704159695747599</v>
      </c>
      <c r="AD48" s="69" t="s">
        <v>1</v>
      </c>
      <c r="AE48" s="53"/>
      <c r="AF48" s="54"/>
      <c r="AG48" s="82"/>
      <c r="AH48" s="100"/>
      <c r="AI48" s="100"/>
      <c r="AJ48" s="130"/>
      <c r="AK48" s="124"/>
      <c r="AL48" s="100"/>
      <c r="AM48" s="140"/>
      <c r="AN48" s="124"/>
      <c r="AO48" s="168"/>
      <c r="AP48" s="124"/>
      <c r="AQ48" s="175"/>
    </row>
    <row r="49" spans="1:43" ht="16.5" customHeight="1" x14ac:dyDescent="0.3">
      <c r="A49" s="43">
        <v>19</v>
      </c>
      <c r="B49" s="44" t="s">
        <v>251</v>
      </c>
      <c r="C49" s="18" t="s">
        <v>248</v>
      </c>
      <c r="D49" s="19" t="s">
        <v>249</v>
      </c>
      <c r="E49" s="20" t="s">
        <v>250</v>
      </c>
      <c r="F49" s="55">
        <v>1</v>
      </c>
      <c r="G49" s="6">
        <v>1</v>
      </c>
      <c r="H49" s="45"/>
      <c r="I49" s="6"/>
      <c r="J49" s="45"/>
      <c r="K49" s="118"/>
      <c r="L49" s="118"/>
      <c r="M49" s="6"/>
      <c r="N49" s="45"/>
      <c r="O49" s="6">
        <v>1</v>
      </c>
      <c r="P49" s="6">
        <v>1</v>
      </c>
      <c r="Q49" s="6"/>
      <c r="R49" s="6"/>
      <c r="S49" s="6"/>
      <c r="T49" s="45"/>
      <c r="U49" s="6"/>
      <c r="V49" s="6"/>
      <c r="W49" s="45"/>
      <c r="X49" s="55">
        <v>1</v>
      </c>
      <c r="Y49" s="6">
        <v>1</v>
      </c>
      <c r="Z49" s="6"/>
      <c r="AA49" s="6"/>
      <c r="AB49" s="6"/>
      <c r="AC49" s="7">
        <v>6.2</v>
      </c>
      <c r="AD49" s="5" t="s">
        <v>1</v>
      </c>
      <c r="AE49" s="56">
        <v>175</v>
      </c>
      <c r="AF49" s="57">
        <v>32</v>
      </c>
      <c r="AG49" s="103">
        <v>30</v>
      </c>
      <c r="AH49" s="100">
        <v>30</v>
      </c>
      <c r="AI49" s="100"/>
      <c r="AJ49" s="150">
        <v>30</v>
      </c>
      <c r="AK49" s="103">
        <v>33</v>
      </c>
      <c r="AL49" s="100">
        <v>33</v>
      </c>
      <c r="AM49" s="140">
        <v>30</v>
      </c>
      <c r="AN49" s="103">
        <v>15</v>
      </c>
      <c r="AO49" s="168">
        <v>15</v>
      </c>
      <c r="AP49" s="179">
        <v>10</v>
      </c>
      <c r="AQ49" s="103">
        <v>10</v>
      </c>
    </row>
    <row r="50" spans="1:43" ht="16.5" customHeight="1" x14ac:dyDescent="0.3">
      <c r="A50" s="43">
        <v>3</v>
      </c>
      <c r="B50" s="60" t="s">
        <v>332</v>
      </c>
      <c r="C50" s="18" t="s">
        <v>248</v>
      </c>
      <c r="D50" s="19" t="s">
        <v>249</v>
      </c>
      <c r="E50" s="20" t="s">
        <v>250</v>
      </c>
      <c r="F50" s="6"/>
      <c r="G50" s="6"/>
      <c r="H50" s="45"/>
      <c r="I50" s="6"/>
      <c r="J50" s="45">
        <v>1</v>
      </c>
      <c r="K50" s="118">
        <v>1</v>
      </c>
      <c r="L50" s="118">
        <v>1</v>
      </c>
      <c r="M50" s="6"/>
      <c r="N50" s="45">
        <v>1</v>
      </c>
      <c r="O50" s="6"/>
      <c r="P50" s="6"/>
      <c r="Q50" s="6">
        <v>1</v>
      </c>
      <c r="R50" s="6">
        <v>1</v>
      </c>
      <c r="S50" s="6"/>
      <c r="T50" s="45"/>
      <c r="U50" s="6"/>
      <c r="V50" s="6">
        <v>1</v>
      </c>
      <c r="W50" s="45">
        <v>1</v>
      </c>
      <c r="X50" s="6"/>
      <c r="Y50" s="6"/>
      <c r="Z50" s="6">
        <v>1</v>
      </c>
      <c r="AA50" s="6">
        <v>1</v>
      </c>
      <c r="AB50" s="6"/>
      <c r="AC50" s="7">
        <v>5.1659999999999995</v>
      </c>
      <c r="AD50" s="5" t="s">
        <v>1</v>
      </c>
      <c r="AE50" s="47">
        <v>0</v>
      </c>
      <c r="AF50" s="46">
        <v>8</v>
      </c>
      <c r="AG50" s="103">
        <v>8</v>
      </c>
      <c r="AH50" s="100">
        <v>8</v>
      </c>
      <c r="AI50" s="100"/>
      <c r="AJ50" s="150">
        <v>40</v>
      </c>
      <c r="AK50" s="103">
        <v>25</v>
      </c>
      <c r="AL50" s="100">
        <v>25</v>
      </c>
      <c r="AM50" s="140">
        <v>40</v>
      </c>
      <c r="AN50" s="124"/>
      <c r="AO50" s="168"/>
      <c r="AP50" s="124"/>
      <c r="AQ50" s="175"/>
    </row>
    <row r="51" spans="1:43" ht="16.5" customHeight="1" x14ac:dyDescent="0.3">
      <c r="A51" s="48" t="s">
        <v>252</v>
      </c>
      <c r="B51" s="18" t="s">
        <v>253</v>
      </c>
      <c r="C51" s="18" t="s">
        <v>254</v>
      </c>
      <c r="D51" s="19" t="s">
        <v>255</v>
      </c>
      <c r="E51" s="20" t="s">
        <v>256</v>
      </c>
      <c r="F51" s="6">
        <v>2</v>
      </c>
      <c r="G51" s="6">
        <v>2</v>
      </c>
      <c r="H51" s="45">
        <v>2</v>
      </c>
      <c r="I51" s="6">
        <v>1</v>
      </c>
      <c r="J51" s="45">
        <v>4</v>
      </c>
      <c r="K51" s="118">
        <v>4</v>
      </c>
      <c r="L51" s="118">
        <v>4</v>
      </c>
      <c r="M51" s="6">
        <v>1</v>
      </c>
      <c r="N51" s="45">
        <v>4</v>
      </c>
      <c r="O51" s="6">
        <v>2</v>
      </c>
      <c r="P51" s="6">
        <v>2</v>
      </c>
      <c r="Q51" s="6">
        <v>4</v>
      </c>
      <c r="R51" s="6">
        <v>4</v>
      </c>
      <c r="S51" s="6"/>
      <c r="T51" s="45">
        <v>2</v>
      </c>
      <c r="U51" s="6">
        <v>2</v>
      </c>
      <c r="V51" s="6">
        <v>4</v>
      </c>
      <c r="W51" s="45">
        <v>4</v>
      </c>
      <c r="X51" s="6">
        <v>2</v>
      </c>
      <c r="Y51" s="6">
        <v>2</v>
      </c>
      <c r="Z51" s="6">
        <v>4</v>
      </c>
      <c r="AA51" s="6">
        <v>4</v>
      </c>
      <c r="AB51" s="6">
        <v>2</v>
      </c>
      <c r="AC51" s="7">
        <v>0.182</v>
      </c>
      <c r="AD51" s="5" t="s">
        <v>822</v>
      </c>
      <c r="AE51" s="47">
        <v>14</v>
      </c>
      <c r="AF51" s="46">
        <v>116</v>
      </c>
      <c r="AG51" s="82"/>
      <c r="AH51" s="100"/>
      <c r="AI51" s="100"/>
      <c r="AJ51" s="130"/>
      <c r="AK51" s="124"/>
      <c r="AL51" s="100"/>
      <c r="AM51" s="140"/>
      <c r="AN51" s="124"/>
      <c r="AO51" s="168"/>
      <c r="AP51" s="124"/>
      <c r="AQ51" s="175"/>
    </row>
    <row r="52" spans="1:43" ht="16.5" customHeight="1" x14ac:dyDescent="0.3">
      <c r="A52" s="43">
        <v>12</v>
      </c>
      <c r="B52" s="44" t="s">
        <v>257</v>
      </c>
      <c r="C52" s="18" t="s">
        <v>258</v>
      </c>
      <c r="D52" s="19" t="s">
        <v>259</v>
      </c>
      <c r="E52" s="20" t="s">
        <v>260</v>
      </c>
      <c r="F52" s="6"/>
      <c r="G52" s="6">
        <v>1</v>
      </c>
      <c r="H52" s="45"/>
      <c r="I52" s="6"/>
      <c r="J52" s="45">
        <v>2</v>
      </c>
      <c r="K52" s="118">
        <v>2</v>
      </c>
      <c r="L52" s="118">
        <v>2</v>
      </c>
      <c r="M52" s="6"/>
      <c r="N52" s="45">
        <v>2</v>
      </c>
      <c r="O52" s="6"/>
      <c r="P52" s="6">
        <v>1</v>
      </c>
      <c r="Q52" s="6">
        <v>2</v>
      </c>
      <c r="R52" s="6">
        <v>2</v>
      </c>
      <c r="S52" s="6"/>
      <c r="T52" s="45"/>
      <c r="U52" s="6"/>
      <c r="V52" s="6">
        <v>2</v>
      </c>
      <c r="W52" s="45">
        <v>2</v>
      </c>
      <c r="X52" s="6"/>
      <c r="Y52" s="6">
        <v>1</v>
      </c>
      <c r="Z52" s="6">
        <v>2</v>
      </c>
      <c r="AA52" s="6">
        <v>2</v>
      </c>
      <c r="AB52" s="6"/>
      <c r="AC52" s="7">
        <v>0.126</v>
      </c>
      <c r="AD52" s="5" t="s">
        <v>261</v>
      </c>
      <c r="AE52" s="47">
        <v>0</v>
      </c>
      <c r="AF52" s="46">
        <v>10</v>
      </c>
      <c r="AG52" s="82"/>
      <c r="AH52" s="100"/>
      <c r="AI52" s="100"/>
      <c r="AJ52" s="130"/>
      <c r="AK52" s="124"/>
      <c r="AL52" s="100"/>
      <c r="AM52" s="140"/>
      <c r="AN52" s="124"/>
      <c r="AO52" s="168"/>
      <c r="AP52" s="124"/>
      <c r="AQ52" s="175"/>
    </row>
    <row r="53" spans="1:43" ht="16.5" customHeight="1" x14ac:dyDescent="0.3">
      <c r="A53" s="43">
        <v>16</v>
      </c>
      <c r="B53" s="44" t="s">
        <v>262</v>
      </c>
      <c r="C53" s="18" t="s">
        <v>258</v>
      </c>
      <c r="D53" s="19" t="s">
        <v>259</v>
      </c>
      <c r="E53" s="20" t="s">
        <v>260</v>
      </c>
      <c r="F53" s="6"/>
      <c r="G53" s="6">
        <v>1</v>
      </c>
      <c r="H53" s="45"/>
      <c r="I53" s="6"/>
      <c r="J53" s="45"/>
      <c r="K53" s="118"/>
      <c r="L53" s="118"/>
      <c r="M53" s="6"/>
      <c r="N53" s="45"/>
      <c r="O53" s="6"/>
      <c r="P53" s="6">
        <v>1</v>
      </c>
      <c r="Q53" s="6"/>
      <c r="R53" s="6"/>
      <c r="S53" s="6"/>
      <c r="T53" s="45"/>
      <c r="U53" s="6"/>
      <c r="V53" s="6"/>
      <c r="W53" s="45"/>
      <c r="X53" s="6"/>
      <c r="Y53" s="6">
        <v>1</v>
      </c>
      <c r="Z53" s="6"/>
      <c r="AA53" s="6"/>
      <c r="AB53" s="6"/>
      <c r="AC53" s="7">
        <v>0.18759981239999998</v>
      </c>
      <c r="AD53" s="5" t="s">
        <v>261</v>
      </c>
      <c r="AE53" s="47">
        <v>0</v>
      </c>
      <c r="AF53" s="46">
        <v>10</v>
      </c>
      <c r="AG53" s="82"/>
      <c r="AH53" s="100"/>
      <c r="AI53" s="100"/>
      <c r="AJ53" s="130"/>
      <c r="AK53" s="124"/>
      <c r="AL53" s="100"/>
      <c r="AM53" s="140"/>
      <c r="AN53" s="124"/>
      <c r="AO53" s="168"/>
      <c r="AP53" s="124"/>
      <c r="AQ53" s="175"/>
    </row>
    <row r="54" spans="1:43" ht="16.5" customHeight="1" x14ac:dyDescent="0.3">
      <c r="A54" s="43">
        <v>11</v>
      </c>
      <c r="B54" s="44" t="s">
        <v>263</v>
      </c>
      <c r="C54" s="18" t="s">
        <v>264</v>
      </c>
      <c r="D54" s="19" t="s">
        <v>265</v>
      </c>
      <c r="E54" s="20" t="s">
        <v>266</v>
      </c>
      <c r="F54" s="6"/>
      <c r="G54" s="6">
        <v>1</v>
      </c>
      <c r="H54" s="45"/>
      <c r="I54" s="6"/>
      <c r="J54" s="45"/>
      <c r="K54" s="118"/>
      <c r="L54" s="118"/>
      <c r="M54" s="6"/>
      <c r="N54" s="45"/>
      <c r="O54" s="6"/>
      <c r="P54" s="6">
        <v>1</v>
      </c>
      <c r="Q54" s="6"/>
      <c r="R54" s="6"/>
      <c r="S54" s="6"/>
      <c r="T54" s="45"/>
      <c r="U54" s="6"/>
      <c r="V54" s="6"/>
      <c r="W54" s="45"/>
      <c r="X54" s="6"/>
      <c r="Y54" s="6">
        <v>1</v>
      </c>
      <c r="Z54" s="6"/>
      <c r="AA54" s="6"/>
      <c r="AB54" s="6"/>
      <c r="AC54" s="7">
        <v>0.42811957187999999</v>
      </c>
      <c r="AD54" s="5" t="s">
        <v>261</v>
      </c>
      <c r="AE54" s="47">
        <v>0</v>
      </c>
      <c r="AF54" s="46">
        <v>10</v>
      </c>
      <c r="AG54" s="82"/>
      <c r="AH54" s="100"/>
      <c r="AI54" s="100"/>
      <c r="AJ54" s="130"/>
      <c r="AK54" s="124"/>
      <c r="AL54" s="100"/>
      <c r="AM54" s="140"/>
      <c r="AN54" s="124"/>
      <c r="AO54" s="168"/>
      <c r="AP54" s="124"/>
      <c r="AQ54" s="175"/>
    </row>
    <row r="55" spans="1:43" ht="16.5" customHeight="1" x14ac:dyDescent="0.3">
      <c r="A55" s="43">
        <v>5</v>
      </c>
      <c r="B55" s="44" t="s">
        <v>267</v>
      </c>
      <c r="C55" s="18" t="s">
        <v>6</v>
      </c>
      <c r="D55" s="19" t="s">
        <v>7</v>
      </c>
      <c r="E55" s="20" t="s">
        <v>268</v>
      </c>
      <c r="F55" s="6"/>
      <c r="G55" s="6">
        <v>1</v>
      </c>
      <c r="H55" s="45"/>
      <c r="I55" s="6"/>
      <c r="J55" s="45"/>
      <c r="K55" s="118"/>
      <c r="L55" s="118"/>
      <c r="M55" s="6"/>
      <c r="N55" s="45"/>
      <c r="O55" s="6"/>
      <c r="P55" s="6">
        <v>1</v>
      </c>
      <c r="Q55" s="6"/>
      <c r="R55" s="6"/>
      <c r="S55" s="6"/>
      <c r="T55" s="45"/>
      <c r="U55" s="6"/>
      <c r="V55" s="6"/>
      <c r="W55" s="45"/>
      <c r="X55" s="6"/>
      <c r="Y55" s="6">
        <v>1</v>
      </c>
      <c r="Z55" s="6"/>
      <c r="AA55" s="6"/>
      <c r="AB55" s="6"/>
      <c r="AC55" s="7">
        <v>1.338566661432</v>
      </c>
      <c r="AD55" s="5" t="s">
        <v>261</v>
      </c>
      <c r="AE55" s="47">
        <v>0</v>
      </c>
      <c r="AF55" s="46">
        <v>6</v>
      </c>
      <c r="AG55" s="82"/>
      <c r="AH55" s="100"/>
      <c r="AI55" s="100"/>
      <c r="AJ55" s="130"/>
      <c r="AK55" s="124"/>
      <c r="AL55" s="100"/>
      <c r="AM55" s="140"/>
      <c r="AN55" s="124"/>
      <c r="AO55" s="168"/>
      <c r="AP55" s="124"/>
      <c r="AQ55" s="175"/>
    </row>
    <row r="56" spans="1:43" ht="16.5" customHeight="1" x14ac:dyDescent="0.3">
      <c r="A56" s="43">
        <v>8</v>
      </c>
      <c r="B56" s="44" t="s">
        <v>269</v>
      </c>
      <c r="C56" s="18" t="s">
        <v>6</v>
      </c>
      <c r="D56" s="19" t="s">
        <v>7</v>
      </c>
      <c r="E56" s="20" t="s">
        <v>270</v>
      </c>
      <c r="F56" s="6"/>
      <c r="G56" s="6">
        <v>1</v>
      </c>
      <c r="H56" s="45"/>
      <c r="I56" s="6"/>
      <c r="J56" s="45"/>
      <c r="K56" s="118"/>
      <c r="L56" s="118"/>
      <c r="M56" s="6"/>
      <c r="N56" s="45"/>
      <c r="O56" s="6"/>
      <c r="P56" s="6">
        <v>1</v>
      </c>
      <c r="Q56" s="6"/>
      <c r="R56" s="6"/>
      <c r="S56" s="6"/>
      <c r="T56" s="45"/>
      <c r="U56" s="6"/>
      <c r="V56" s="6"/>
      <c r="W56" s="45"/>
      <c r="X56" s="6"/>
      <c r="Y56" s="6">
        <v>1</v>
      </c>
      <c r="Z56" s="6"/>
      <c r="AA56" s="6"/>
      <c r="AB56" s="6"/>
      <c r="AC56" s="7">
        <v>1.122266877732</v>
      </c>
      <c r="AD56" s="5" t="s">
        <v>261</v>
      </c>
      <c r="AE56" s="47">
        <v>1</v>
      </c>
      <c r="AF56" s="46">
        <v>5</v>
      </c>
      <c r="AG56" s="82"/>
      <c r="AH56" s="100"/>
      <c r="AI56" s="100"/>
      <c r="AJ56" s="130"/>
      <c r="AK56" s="124"/>
      <c r="AL56" s="100"/>
      <c r="AM56" s="140"/>
      <c r="AN56" s="124"/>
      <c r="AO56" s="168"/>
      <c r="AP56" s="124"/>
      <c r="AQ56" s="175"/>
    </row>
    <row r="57" spans="1:43" ht="16.5" customHeight="1" x14ac:dyDescent="0.3">
      <c r="A57" s="43">
        <v>7</v>
      </c>
      <c r="B57" s="60" t="s">
        <v>338</v>
      </c>
      <c r="C57" s="18" t="s">
        <v>336</v>
      </c>
      <c r="D57" s="19" t="s">
        <v>337</v>
      </c>
      <c r="E57" s="20" t="s">
        <v>339</v>
      </c>
      <c r="F57" s="6"/>
      <c r="G57" s="6"/>
      <c r="H57" s="45"/>
      <c r="I57" s="6"/>
      <c r="J57" s="45">
        <v>4</v>
      </c>
      <c r="K57" s="118">
        <v>4</v>
      </c>
      <c r="L57" s="118">
        <v>4</v>
      </c>
      <c r="M57" s="6"/>
      <c r="N57" s="45">
        <v>4</v>
      </c>
      <c r="O57" s="6"/>
      <c r="P57" s="6"/>
      <c r="Q57" s="6">
        <v>4</v>
      </c>
      <c r="R57" s="6">
        <v>4</v>
      </c>
      <c r="S57" s="6"/>
      <c r="T57" s="45"/>
      <c r="U57" s="6"/>
      <c r="V57" s="6">
        <v>4</v>
      </c>
      <c r="W57" s="45">
        <v>4</v>
      </c>
      <c r="X57" s="6"/>
      <c r="Y57" s="6"/>
      <c r="Z57" s="6">
        <v>4</v>
      </c>
      <c r="AA57" s="6">
        <v>4</v>
      </c>
      <c r="AB57" s="6"/>
      <c r="AC57" s="7">
        <v>0.154</v>
      </c>
      <c r="AD57" s="5" t="s">
        <v>261</v>
      </c>
      <c r="AE57" s="47">
        <v>0</v>
      </c>
      <c r="AF57" s="46">
        <v>5</v>
      </c>
      <c r="AG57" s="103">
        <v>5</v>
      </c>
      <c r="AH57" s="100">
        <v>5</v>
      </c>
      <c r="AI57" s="100"/>
      <c r="AJ57" s="150">
        <v>10</v>
      </c>
      <c r="AK57" s="124"/>
      <c r="AL57" s="100"/>
      <c r="AM57" s="140">
        <v>10</v>
      </c>
      <c r="AN57" s="124"/>
      <c r="AO57" s="168"/>
      <c r="AP57" s="124"/>
      <c r="AQ57" s="175"/>
    </row>
    <row r="58" spans="1:43" ht="16.5" customHeight="1" x14ac:dyDescent="0.3">
      <c r="A58" s="48" t="s">
        <v>271</v>
      </c>
      <c r="B58" s="18" t="s">
        <v>272</v>
      </c>
      <c r="C58" s="18" t="s">
        <v>273</v>
      </c>
      <c r="D58" s="19" t="s">
        <v>274</v>
      </c>
      <c r="E58" s="20" t="s">
        <v>275</v>
      </c>
      <c r="F58" s="6">
        <v>1</v>
      </c>
      <c r="G58" s="6">
        <v>1</v>
      </c>
      <c r="H58" s="45"/>
      <c r="I58" s="6"/>
      <c r="J58" s="45"/>
      <c r="K58" s="118"/>
      <c r="L58" s="118"/>
      <c r="M58" s="6"/>
      <c r="N58" s="45"/>
      <c r="O58" s="6">
        <v>1</v>
      </c>
      <c r="P58" s="6">
        <v>1</v>
      </c>
      <c r="Q58" s="6"/>
      <c r="R58" s="6"/>
      <c r="S58" s="6"/>
      <c r="T58" s="45"/>
      <c r="U58" s="6"/>
      <c r="V58" s="6"/>
      <c r="W58" s="45"/>
      <c r="X58" s="6">
        <v>1</v>
      </c>
      <c r="Y58" s="6">
        <v>1</v>
      </c>
      <c r="Z58" s="6"/>
      <c r="AA58" s="6"/>
      <c r="AB58" s="6"/>
      <c r="AC58" s="7">
        <v>4.7996412203539798</v>
      </c>
      <c r="AD58" s="5" t="s">
        <v>261</v>
      </c>
      <c r="AE58" s="47">
        <v>1</v>
      </c>
      <c r="AF58" s="46">
        <v>14</v>
      </c>
      <c r="AG58" s="82"/>
      <c r="AH58" s="100"/>
      <c r="AI58" s="100"/>
      <c r="AJ58" s="130"/>
      <c r="AK58" s="124"/>
      <c r="AL58" s="100"/>
      <c r="AM58" s="140"/>
      <c r="AN58" s="124"/>
      <c r="AO58" s="168"/>
      <c r="AP58" s="124"/>
      <c r="AQ58" s="175"/>
    </row>
    <row r="59" spans="1:43" ht="16.5" customHeight="1" x14ac:dyDescent="0.3">
      <c r="A59" s="48">
        <v>2</v>
      </c>
      <c r="B59" s="18" t="s">
        <v>276</v>
      </c>
      <c r="C59" s="18" t="s">
        <v>273</v>
      </c>
      <c r="D59" s="19" t="s">
        <v>274</v>
      </c>
      <c r="E59" s="20" t="s">
        <v>275</v>
      </c>
      <c r="F59" s="6"/>
      <c r="G59" s="6"/>
      <c r="H59" s="45">
        <v>1</v>
      </c>
      <c r="I59" s="6">
        <v>1</v>
      </c>
      <c r="J59" s="45"/>
      <c r="K59" s="118"/>
      <c r="L59" s="118"/>
      <c r="M59" s="6">
        <v>1</v>
      </c>
      <c r="N59" s="45"/>
      <c r="O59" s="6"/>
      <c r="P59" s="6"/>
      <c r="Q59" s="6"/>
      <c r="R59" s="6"/>
      <c r="S59" s="6"/>
      <c r="T59" s="45">
        <v>1</v>
      </c>
      <c r="U59" s="6">
        <v>1</v>
      </c>
      <c r="V59" s="6"/>
      <c r="W59" s="45"/>
      <c r="X59" s="6"/>
      <c r="Y59" s="6"/>
      <c r="Z59" s="6"/>
      <c r="AA59" s="6"/>
      <c r="AB59" s="6">
        <v>1</v>
      </c>
      <c r="AC59" s="7">
        <v>1.89</v>
      </c>
      <c r="AD59" s="5" t="s">
        <v>261</v>
      </c>
      <c r="AE59" s="47">
        <v>2</v>
      </c>
      <c r="AF59" s="46">
        <v>8</v>
      </c>
      <c r="AG59" s="82"/>
      <c r="AH59" s="100"/>
      <c r="AI59" s="100"/>
      <c r="AJ59" s="130"/>
      <c r="AK59" s="124"/>
      <c r="AL59" s="100"/>
      <c r="AM59" s="140"/>
      <c r="AN59" s="124"/>
      <c r="AO59" s="168"/>
      <c r="AP59" s="124"/>
      <c r="AQ59" s="175"/>
    </row>
    <row r="60" spans="1:43" ht="16.5" customHeight="1" x14ac:dyDescent="0.3">
      <c r="A60" s="48">
        <v>18</v>
      </c>
      <c r="B60" s="60" t="s">
        <v>344</v>
      </c>
      <c r="C60" s="18" t="s">
        <v>87</v>
      </c>
      <c r="D60" s="19" t="s">
        <v>88</v>
      </c>
      <c r="E60" s="20" t="s">
        <v>275</v>
      </c>
      <c r="F60" s="6"/>
      <c r="G60" s="6"/>
      <c r="H60" s="45"/>
      <c r="I60" s="6"/>
      <c r="J60" s="45">
        <v>1</v>
      </c>
      <c r="K60" s="118">
        <v>1</v>
      </c>
      <c r="L60" s="118">
        <v>1</v>
      </c>
      <c r="M60" s="6"/>
      <c r="N60" s="45">
        <v>1</v>
      </c>
      <c r="O60" s="6"/>
      <c r="P60" s="6"/>
      <c r="Q60" s="6">
        <v>1</v>
      </c>
      <c r="R60" s="6">
        <v>1</v>
      </c>
      <c r="S60" s="6"/>
      <c r="T60" s="45"/>
      <c r="U60" s="6"/>
      <c r="V60" s="6">
        <v>1</v>
      </c>
      <c r="W60" s="45">
        <v>1</v>
      </c>
      <c r="X60" s="6"/>
      <c r="Y60" s="6"/>
      <c r="Z60" s="6">
        <v>1</v>
      </c>
      <c r="AA60" s="6">
        <v>1</v>
      </c>
      <c r="AB60" s="6"/>
      <c r="AC60" s="7">
        <v>3.9059999999999997</v>
      </c>
      <c r="AD60" s="5" t="s">
        <v>261</v>
      </c>
      <c r="AE60" s="47">
        <v>0</v>
      </c>
      <c r="AF60" s="46">
        <v>3</v>
      </c>
      <c r="AG60" s="103">
        <v>3</v>
      </c>
      <c r="AH60" s="100">
        <v>3</v>
      </c>
      <c r="AI60" s="100"/>
      <c r="AJ60" s="150">
        <v>10</v>
      </c>
      <c r="AK60" s="124"/>
      <c r="AL60" s="100"/>
      <c r="AM60" s="140">
        <v>10</v>
      </c>
      <c r="AN60" s="124"/>
      <c r="AO60" s="168"/>
      <c r="AP60" s="124"/>
      <c r="AQ60" s="175"/>
    </row>
    <row r="61" spans="1:43" ht="16.5" customHeight="1" x14ac:dyDescent="0.3">
      <c r="A61" s="48" t="s">
        <v>277</v>
      </c>
      <c r="B61" s="18" t="s">
        <v>278</v>
      </c>
      <c r="C61" s="18" t="s">
        <v>279</v>
      </c>
      <c r="D61" s="19" t="s">
        <v>280</v>
      </c>
      <c r="E61" s="20" t="s">
        <v>281</v>
      </c>
      <c r="F61" s="6">
        <v>2</v>
      </c>
      <c r="G61" s="6">
        <v>2</v>
      </c>
      <c r="H61" s="45">
        <v>1</v>
      </c>
      <c r="I61" s="6"/>
      <c r="J61" s="62">
        <v>2</v>
      </c>
      <c r="K61" s="51">
        <v>2</v>
      </c>
      <c r="L61" s="118"/>
      <c r="M61" s="6"/>
      <c r="N61" s="62">
        <v>2</v>
      </c>
      <c r="O61" s="6">
        <v>2</v>
      </c>
      <c r="P61" s="6">
        <v>2</v>
      </c>
      <c r="Q61" s="6"/>
      <c r="R61" s="59">
        <v>2</v>
      </c>
      <c r="S61" s="6"/>
      <c r="T61" s="45">
        <v>1</v>
      </c>
      <c r="U61" s="59">
        <v>1</v>
      </c>
      <c r="V61" s="59">
        <v>2</v>
      </c>
      <c r="W61" s="62">
        <v>2</v>
      </c>
      <c r="X61" s="6">
        <v>2</v>
      </c>
      <c r="Y61" s="6">
        <v>2</v>
      </c>
      <c r="Z61" s="59">
        <v>2</v>
      </c>
      <c r="AA61" s="6"/>
      <c r="AB61" s="6">
        <v>1</v>
      </c>
      <c r="AC61" s="7">
        <v>0.24669709330265999</v>
      </c>
      <c r="AD61" s="5" t="s">
        <v>261</v>
      </c>
      <c r="AE61" s="47">
        <v>7</v>
      </c>
      <c r="AF61" s="46">
        <v>23</v>
      </c>
      <c r="AG61" s="82"/>
      <c r="AH61" s="100"/>
      <c r="AI61" s="100"/>
      <c r="AJ61" s="130"/>
      <c r="AK61" s="124"/>
      <c r="AL61" s="100"/>
      <c r="AM61" s="140"/>
      <c r="AN61" s="124"/>
      <c r="AO61" s="168"/>
      <c r="AP61" s="124"/>
      <c r="AQ61" s="175"/>
    </row>
    <row r="62" spans="1:43" ht="16.5" customHeight="1" x14ac:dyDescent="0.3">
      <c r="A62" s="48" t="s">
        <v>282</v>
      </c>
      <c r="B62" s="18" t="s">
        <v>283</v>
      </c>
      <c r="C62" s="18" t="s">
        <v>284</v>
      </c>
      <c r="D62" s="19" t="s">
        <v>285</v>
      </c>
      <c r="E62" s="20" t="s">
        <v>286</v>
      </c>
      <c r="F62" s="6">
        <v>2</v>
      </c>
      <c r="G62" s="6">
        <v>2</v>
      </c>
      <c r="H62" s="45"/>
      <c r="I62" s="6"/>
      <c r="J62" s="45"/>
      <c r="K62" s="118"/>
      <c r="L62" s="118"/>
      <c r="M62" s="6"/>
      <c r="N62" s="45"/>
      <c r="O62" s="6">
        <v>2</v>
      </c>
      <c r="P62" s="6">
        <v>2</v>
      </c>
      <c r="Q62" s="6"/>
      <c r="R62" s="6"/>
      <c r="S62" s="6"/>
      <c r="T62" s="45"/>
      <c r="U62" s="6"/>
      <c r="V62" s="6"/>
      <c r="W62" s="45"/>
      <c r="X62" s="6">
        <v>2</v>
      </c>
      <c r="Y62" s="6">
        <v>2</v>
      </c>
      <c r="Z62" s="6"/>
      <c r="AA62" s="6"/>
      <c r="AB62" s="6"/>
      <c r="AC62" s="7">
        <v>1.34301865698</v>
      </c>
      <c r="AD62" s="5" t="s">
        <v>287</v>
      </c>
      <c r="AE62" s="47">
        <v>9</v>
      </c>
      <c r="AF62" s="46">
        <v>30</v>
      </c>
      <c r="AG62" s="82"/>
      <c r="AH62" s="100"/>
      <c r="AI62" s="100"/>
      <c r="AJ62" s="130"/>
      <c r="AK62" s="124"/>
      <c r="AL62" s="100"/>
      <c r="AM62" s="140"/>
      <c r="AN62" s="124"/>
      <c r="AO62" s="168"/>
      <c r="AP62" s="124"/>
      <c r="AQ62" s="175"/>
    </row>
    <row r="63" spans="1:43" ht="16.5" customHeight="1" x14ac:dyDescent="0.3">
      <c r="A63" s="48">
        <v>4</v>
      </c>
      <c r="B63" s="18" t="s">
        <v>288</v>
      </c>
      <c r="C63" s="18" t="s">
        <v>289</v>
      </c>
      <c r="D63" s="19" t="s">
        <v>285</v>
      </c>
      <c r="E63" s="20" t="s">
        <v>286</v>
      </c>
      <c r="F63" s="6"/>
      <c r="G63" s="6"/>
      <c r="H63" s="45">
        <v>1</v>
      </c>
      <c r="I63" s="6">
        <v>1</v>
      </c>
      <c r="J63" s="45"/>
      <c r="K63" s="118"/>
      <c r="L63" s="118"/>
      <c r="M63" s="6">
        <v>1</v>
      </c>
      <c r="N63" s="45"/>
      <c r="O63" s="6"/>
      <c r="P63" s="6"/>
      <c r="Q63" s="6"/>
      <c r="R63" s="6"/>
      <c r="S63" s="6"/>
      <c r="T63" s="45">
        <v>1</v>
      </c>
      <c r="U63" s="6">
        <v>1</v>
      </c>
      <c r="V63" s="6"/>
      <c r="W63" s="45"/>
      <c r="X63" s="6"/>
      <c r="Y63" s="6"/>
      <c r="Z63" s="6"/>
      <c r="AA63" s="6"/>
      <c r="AB63" s="6">
        <v>1</v>
      </c>
      <c r="AC63" s="7">
        <v>1.456</v>
      </c>
      <c r="AD63" s="5" t="s">
        <v>287</v>
      </c>
      <c r="AE63" s="47">
        <v>0</v>
      </c>
      <c r="AF63" s="46">
        <v>19</v>
      </c>
      <c r="AG63" s="82"/>
      <c r="AH63" s="100"/>
      <c r="AI63" s="100"/>
      <c r="AJ63" s="130"/>
      <c r="AK63" s="124"/>
      <c r="AL63" s="100"/>
      <c r="AM63" s="140"/>
      <c r="AN63" s="124"/>
      <c r="AO63" s="168"/>
      <c r="AP63" s="124"/>
      <c r="AQ63" s="175"/>
    </row>
    <row r="64" spans="1:43" ht="16.5" customHeight="1" x14ac:dyDescent="0.3">
      <c r="A64" s="48">
        <v>8</v>
      </c>
      <c r="B64" s="60" t="s">
        <v>340</v>
      </c>
      <c r="C64" s="18" t="s">
        <v>349</v>
      </c>
      <c r="D64" s="19" t="s">
        <v>341</v>
      </c>
      <c r="E64" s="20" t="s">
        <v>286</v>
      </c>
      <c r="F64" s="6"/>
      <c r="G64" s="6"/>
      <c r="H64" s="45"/>
      <c r="I64" s="6"/>
      <c r="J64" s="45">
        <v>2</v>
      </c>
      <c r="K64" s="118">
        <v>2</v>
      </c>
      <c r="L64" s="118">
        <v>2</v>
      </c>
      <c r="M64" s="6"/>
      <c r="N64" s="45">
        <v>2</v>
      </c>
      <c r="O64" s="6"/>
      <c r="P64" s="6"/>
      <c r="Q64" s="6">
        <v>2</v>
      </c>
      <c r="R64" s="6">
        <v>2</v>
      </c>
      <c r="S64" s="6"/>
      <c r="T64" s="45"/>
      <c r="U64" s="6"/>
      <c r="V64" s="6">
        <v>2</v>
      </c>
      <c r="W64" s="45">
        <v>2</v>
      </c>
      <c r="X64" s="6"/>
      <c r="Y64" s="6"/>
      <c r="Z64" s="6">
        <v>2</v>
      </c>
      <c r="AA64" s="6">
        <v>2</v>
      </c>
      <c r="AB64" s="6"/>
      <c r="AC64" s="7">
        <v>0.5</v>
      </c>
      <c r="AD64" s="5" t="s">
        <v>287</v>
      </c>
      <c r="AE64" s="47">
        <v>0</v>
      </c>
      <c r="AF64" s="46">
        <v>6</v>
      </c>
      <c r="AG64" s="103">
        <v>6</v>
      </c>
      <c r="AH64" s="100">
        <v>6</v>
      </c>
      <c r="AI64" s="100"/>
      <c r="AJ64" s="130"/>
      <c r="AK64" s="124"/>
      <c r="AL64" s="100"/>
      <c r="AM64" s="140"/>
      <c r="AN64" s="124"/>
      <c r="AO64" s="168"/>
      <c r="AP64" s="179">
        <v>8</v>
      </c>
      <c r="AQ64" s="103">
        <v>8</v>
      </c>
    </row>
    <row r="65" spans="1:43" ht="16.5" customHeight="1" x14ac:dyDescent="0.3">
      <c r="A65" s="48">
        <v>1</v>
      </c>
      <c r="B65" s="60" t="s">
        <v>840</v>
      </c>
      <c r="C65" s="18" t="s">
        <v>861</v>
      </c>
      <c r="D65" s="19"/>
      <c r="E65" s="20" t="s">
        <v>185</v>
      </c>
      <c r="F65" s="6"/>
      <c r="G65" s="6"/>
      <c r="H65" s="45"/>
      <c r="I65" s="6"/>
      <c r="J65" s="45"/>
      <c r="K65" s="118"/>
      <c r="L65" s="118"/>
      <c r="M65" s="6"/>
      <c r="N65" s="45"/>
      <c r="O65" s="6"/>
      <c r="P65" s="6"/>
      <c r="Q65" s="6"/>
      <c r="R65" s="6"/>
      <c r="S65" s="6">
        <v>1</v>
      </c>
      <c r="T65" s="45"/>
      <c r="U65" s="6"/>
      <c r="V65" s="6"/>
      <c r="W65" s="45"/>
      <c r="X65" s="6"/>
      <c r="Y65" s="6"/>
      <c r="Z65" s="6"/>
      <c r="AA65" s="6"/>
      <c r="AB65" s="6"/>
      <c r="AC65" s="7">
        <v>34.705999999999996</v>
      </c>
      <c r="AD65" s="5" t="s">
        <v>186</v>
      </c>
      <c r="AE65" s="47"/>
      <c r="AF65" s="46"/>
      <c r="AG65" s="128"/>
      <c r="AH65" s="100"/>
      <c r="AI65" s="100"/>
      <c r="AJ65" s="130"/>
      <c r="AK65" s="124"/>
      <c r="AL65" s="100"/>
      <c r="AM65" s="140"/>
      <c r="AN65" s="103">
        <v>5</v>
      </c>
      <c r="AO65" s="168">
        <v>5</v>
      </c>
      <c r="AP65" s="124"/>
      <c r="AQ65" s="175"/>
    </row>
    <row r="66" spans="1:43" ht="16.5" customHeight="1" x14ac:dyDescent="0.3">
      <c r="A66" s="48">
        <v>3</v>
      </c>
      <c r="B66" s="60" t="s">
        <v>841</v>
      </c>
      <c r="C66" s="18" t="s">
        <v>862</v>
      </c>
      <c r="D66" s="19"/>
      <c r="E66" s="20" t="s">
        <v>256</v>
      </c>
      <c r="F66" s="6"/>
      <c r="G66" s="6"/>
      <c r="H66" s="45"/>
      <c r="I66" s="6"/>
      <c r="J66" s="45"/>
      <c r="K66" s="118"/>
      <c r="L66" s="118"/>
      <c r="M66" s="6"/>
      <c r="N66" s="45"/>
      <c r="O66" s="6"/>
      <c r="P66" s="6"/>
      <c r="Q66" s="6"/>
      <c r="R66" s="6"/>
      <c r="S66" s="6">
        <v>5</v>
      </c>
      <c r="T66" s="45"/>
      <c r="U66" s="6"/>
      <c r="V66" s="6"/>
      <c r="W66" s="45"/>
      <c r="X66" s="6"/>
      <c r="Y66" s="6"/>
      <c r="Z66" s="6"/>
      <c r="AA66" s="6"/>
      <c r="AB66" s="6"/>
      <c r="AC66" s="7">
        <v>0.39200000000000002</v>
      </c>
      <c r="AD66" s="5" t="s">
        <v>822</v>
      </c>
      <c r="AE66" s="47"/>
      <c r="AF66" s="46"/>
      <c r="AG66" s="128"/>
      <c r="AH66" s="100"/>
      <c r="AI66" s="100"/>
      <c r="AJ66" s="130"/>
      <c r="AK66" s="124"/>
      <c r="AL66" s="100"/>
      <c r="AM66" s="140"/>
      <c r="AN66" s="103">
        <v>15</v>
      </c>
      <c r="AO66" s="168">
        <v>15</v>
      </c>
      <c r="AP66" s="124"/>
      <c r="AQ66" s="175"/>
    </row>
    <row r="67" spans="1:43" ht="16.5" customHeight="1" x14ac:dyDescent="0.3">
      <c r="A67" s="48">
        <v>5</v>
      </c>
      <c r="B67" s="60" t="s">
        <v>842</v>
      </c>
      <c r="C67" s="18" t="s">
        <v>220</v>
      </c>
      <c r="D67" s="19"/>
      <c r="E67" s="20" t="s">
        <v>870</v>
      </c>
      <c r="F67" s="6"/>
      <c r="G67" s="6"/>
      <c r="H67" s="45"/>
      <c r="I67" s="6"/>
      <c r="J67" s="45"/>
      <c r="K67" s="118"/>
      <c r="L67" s="118"/>
      <c r="M67" s="6"/>
      <c r="N67" s="45"/>
      <c r="O67" s="6"/>
      <c r="P67" s="6"/>
      <c r="Q67" s="6"/>
      <c r="R67" s="6"/>
      <c r="S67" s="6">
        <v>4</v>
      </c>
      <c r="T67" s="45"/>
      <c r="U67" s="6"/>
      <c r="V67" s="6"/>
      <c r="W67" s="45"/>
      <c r="X67" s="6"/>
      <c r="Y67" s="6"/>
      <c r="Z67" s="6"/>
      <c r="AA67" s="6"/>
      <c r="AB67" s="6"/>
      <c r="AC67" s="7">
        <v>3.1919999999999997</v>
      </c>
      <c r="AD67" s="5" t="s">
        <v>822</v>
      </c>
      <c r="AE67" s="47"/>
      <c r="AF67" s="46"/>
      <c r="AG67" s="128"/>
      <c r="AH67" s="100"/>
      <c r="AI67" s="100"/>
      <c r="AJ67" s="130"/>
      <c r="AK67" s="124"/>
      <c r="AL67" s="100"/>
      <c r="AM67" s="140"/>
      <c r="AN67" s="103">
        <v>20</v>
      </c>
      <c r="AO67" s="168">
        <v>20</v>
      </c>
      <c r="AP67" s="124"/>
      <c r="AQ67" s="175"/>
    </row>
    <row r="68" spans="1:43" ht="16.5" customHeight="1" x14ac:dyDescent="0.3">
      <c r="A68" s="48">
        <v>6</v>
      </c>
      <c r="B68" s="60" t="s">
        <v>843</v>
      </c>
      <c r="C68" s="18" t="s">
        <v>220</v>
      </c>
      <c r="D68" s="19"/>
      <c r="E68" s="20" t="s">
        <v>871</v>
      </c>
      <c r="F68" s="6"/>
      <c r="G68" s="6"/>
      <c r="H68" s="45"/>
      <c r="I68" s="6"/>
      <c r="J68" s="45"/>
      <c r="K68" s="118"/>
      <c r="L68" s="118"/>
      <c r="M68" s="6"/>
      <c r="N68" s="45"/>
      <c r="O68" s="6"/>
      <c r="P68" s="6"/>
      <c r="Q68" s="6"/>
      <c r="R68" s="6"/>
      <c r="S68" s="6">
        <v>1</v>
      </c>
      <c r="T68" s="45"/>
      <c r="U68" s="6"/>
      <c r="V68" s="6"/>
      <c r="W68" s="45"/>
      <c r="X68" s="6"/>
      <c r="Y68" s="6"/>
      <c r="Z68" s="6"/>
      <c r="AA68" s="6"/>
      <c r="AB68" s="6"/>
      <c r="AC68" s="7">
        <v>5.9779999999999989</v>
      </c>
      <c r="AD68" s="5" t="s">
        <v>822</v>
      </c>
      <c r="AE68" s="47"/>
      <c r="AF68" s="46"/>
      <c r="AG68" s="128"/>
      <c r="AH68" s="100"/>
      <c r="AI68" s="100"/>
      <c r="AJ68" s="130"/>
      <c r="AK68" s="124"/>
      <c r="AL68" s="100"/>
      <c r="AM68" s="140"/>
      <c r="AN68" s="103">
        <v>6</v>
      </c>
      <c r="AO68" s="168">
        <v>6</v>
      </c>
      <c r="AP68" s="124"/>
      <c r="AQ68" s="175"/>
    </row>
    <row r="69" spans="1:43" ht="16.5" customHeight="1" x14ac:dyDescent="0.3">
      <c r="A69" s="48">
        <v>12</v>
      </c>
      <c r="B69" s="60" t="s">
        <v>845</v>
      </c>
      <c r="C69" s="18" t="s">
        <v>864</v>
      </c>
      <c r="D69" s="19"/>
      <c r="E69" s="20" t="s">
        <v>233</v>
      </c>
      <c r="F69" s="6"/>
      <c r="G69" s="6"/>
      <c r="H69" s="45"/>
      <c r="I69" s="6"/>
      <c r="J69" s="45"/>
      <c r="K69" s="118"/>
      <c r="L69" s="118"/>
      <c r="M69" s="6"/>
      <c r="N69" s="45"/>
      <c r="O69" s="6"/>
      <c r="P69" s="6"/>
      <c r="Q69" s="6"/>
      <c r="R69" s="6"/>
      <c r="S69" s="6">
        <v>1</v>
      </c>
      <c r="T69" s="45"/>
      <c r="U69" s="6"/>
      <c r="V69" s="6"/>
      <c r="W69" s="45"/>
      <c r="X69" s="6"/>
      <c r="Y69" s="6"/>
      <c r="Z69" s="6"/>
      <c r="AA69" s="6"/>
      <c r="AB69" s="6"/>
      <c r="AC69" s="7">
        <v>8.86</v>
      </c>
      <c r="AD69" s="5" t="s">
        <v>1</v>
      </c>
      <c r="AE69" s="47"/>
      <c r="AF69" s="46"/>
      <c r="AG69" s="128"/>
      <c r="AH69" s="100"/>
      <c r="AI69" s="100"/>
      <c r="AJ69" s="130"/>
      <c r="AK69" s="124"/>
      <c r="AL69" s="100"/>
      <c r="AM69" s="140"/>
      <c r="AN69" s="103">
        <v>6</v>
      </c>
      <c r="AO69" s="168">
        <v>6</v>
      </c>
      <c r="AP69" s="179">
        <v>4</v>
      </c>
      <c r="AQ69" s="103">
        <v>4</v>
      </c>
    </row>
    <row r="70" spans="1:43" ht="16.5" customHeight="1" x14ac:dyDescent="0.3">
      <c r="A70" s="48">
        <v>15</v>
      </c>
      <c r="B70" s="60" t="s">
        <v>848</v>
      </c>
      <c r="C70" s="18" t="s">
        <v>284</v>
      </c>
      <c r="D70" s="19"/>
      <c r="E70" s="20" t="s">
        <v>286</v>
      </c>
      <c r="F70" s="6"/>
      <c r="G70" s="6"/>
      <c r="H70" s="45"/>
      <c r="I70" s="6"/>
      <c r="J70" s="45"/>
      <c r="K70" s="118"/>
      <c r="L70" s="118"/>
      <c r="M70" s="6"/>
      <c r="N70" s="45"/>
      <c r="O70" s="6"/>
      <c r="P70" s="6"/>
      <c r="Q70" s="6"/>
      <c r="R70" s="6"/>
      <c r="S70" s="6">
        <v>1</v>
      </c>
      <c r="T70" s="45"/>
      <c r="U70" s="6"/>
      <c r="V70" s="6"/>
      <c r="W70" s="45"/>
      <c r="X70" s="6"/>
      <c r="Y70" s="6"/>
      <c r="Z70" s="6"/>
      <c r="AA70" s="6"/>
      <c r="AB70" s="6"/>
      <c r="AC70" s="7">
        <v>4.6059999999999999</v>
      </c>
      <c r="AD70" s="5" t="s">
        <v>287</v>
      </c>
      <c r="AE70" s="47"/>
      <c r="AF70" s="46"/>
      <c r="AG70" s="128"/>
      <c r="AH70" s="100"/>
      <c r="AI70" s="100"/>
      <c r="AJ70" s="130"/>
      <c r="AK70" s="124"/>
      <c r="AL70" s="100"/>
      <c r="AM70" s="140"/>
      <c r="AN70" s="103">
        <v>6</v>
      </c>
      <c r="AO70" s="168">
        <v>6</v>
      </c>
      <c r="AP70" s="124"/>
      <c r="AQ70" s="175"/>
    </row>
    <row r="71" spans="1:43" ht="16.5" customHeight="1" x14ac:dyDescent="0.3">
      <c r="A71" s="48">
        <v>16</v>
      </c>
      <c r="B71" s="60" t="s">
        <v>849</v>
      </c>
      <c r="C71" s="18" t="s">
        <v>866</v>
      </c>
      <c r="D71" s="19"/>
      <c r="E71" s="20" t="s">
        <v>872</v>
      </c>
      <c r="F71" s="6"/>
      <c r="G71" s="6"/>
      <c r="H71" s="45"/>
      <c r="I71" s="6"/>
      <c r="J71" s="45"/>
      <c r="K71" s="118"/>
      <c r="L71" s="118"/>
      <c r="M71" s="6"/>
      <c r="N71" s="45"/>
      <c r="O71" s="6"/>
      <c r="P71" s="6"/>
      <c r="Q71" s="6"/>
      <c r="R71" s="6"/>
      <c r="S71" s="6">
        <v>1</v>
      </c>
      <c r="T71" s="45"/>
      <c r="U71" s="6"/>
      <c r="V71" s="6"/>
      <c r="W71" s="45"/>
      <c r="X71" s="6"/>
      <c r="Y71" s="6"/>
      <c r="Z71" s="6"/>
      <c r="AA71" s="6"/>
      <c r="AB71" s="6"/>
      <c r="AC71" s="7">
        <v>4.9279999999999999</v>
      </c>
      <c r="AD71" s="5" t="s">
        <v>287</v>
      </c>
      <c r="AE71" s="47"/>
      <c r="AF71" s="46"/>
      <c r="AG71" s="128"/>
      <c r="AH71" s="100"/>
      <c r="AI71" s="100"/>
      <c r="AJ71" s="130"/>
      <c r="AK71" s="124"/>
      <c r="AL71" s="100"/>
      <c r="AM71" s="140"/>
      <c r="AN71" s="103">
        <v>6</v>
      </c>
      <c r="AO71" s="168">
        <v>6</v>
      </c>
      <c r="AP71" s="124"/>
      <c r="AQ71" s="175"/>
    </row>
    <row r="72" spans="1:43" ht="16.5" customHeight="1" x14ac:dyDescent="0.3">
      <c r="A72" s="48">
        <v>17</v>
      </c>
      <c r="B72" s="60" t="s">
        <v>850</v>
      </c>
      <c r="C72" s="18" t="s">
        <v>238</v>
      </c>
      <c r="D72" s="19"/>
      <c r="E72" s="20" t="s">
        <v>874</v>
      </c>
      <c r="F72" s="6"/>
      <c r="G72" s="6"/>
      <c r="H72" s="45"/>
      <c r="I72" s="6"/>
      <c r="J72" s="45"/>
      <c r="K72" s="118"/>
      <c r="L72" s="118"/>
      <c r="M72" s="6"/>
      <c r="N72" s="45"/>
      <c r="O72" s="6"/>
      <c r="P72" s="6"/>
      <c r="Q72" s="6"/>
      <c r="R72" s="6"/>
      <c r="S72" s="6">
        <v>2</v>
      </c>
      <c r="T72" s="45"/>
      <c r="U72" s="6"/>
      <c r="V72" s="6"/>
      <c r="W72" s="45"/>
      <c r="X72" s="6"/>
      <c r="Y72" s="6"/>
      <c r="Z72" s="6"/>
      <c r="AA72" s="6"/>
      <c r="AB72" s="6"/>
      <c r="AC72" s="7">
        <v>9.57</v>
      </c>
      <c r="AD72" s="5" t="s">
        <v>1</v>
      </c>
      <c r="AE72" s="47"/>
      <c r="AF72" s="46"/>
      <c r="AG72" s="128"/>
      <c r="AH72" s="100"/>
      <c r="AI72" s="100"/>
      <c r="AJ72" s="130"/>
      <c r="AK72" s="124"/>
      <c r="AL72" s="100"/>
      <c r="AM72" s="140"/>
      <c r="AN72" s="103">
        <v>16</v>
      </c>
      <c r="AO72" s="168">
        <v>16</v>
      </c>
      <c r="AP72" s="179">
        <v>6</v>
      </c>
      <c r="AQ72" s="103">
        <v>6</v>
      </c>
    </row>
    <row r="73" spans="1:43" ht="16.5" customHeight="1" x14ac:dyDescent="0.3">
      <c r="A73" s="48">
        <v>18</v>
      </c>
      <c r="B73" s="60" t="s">
        <v>851</v>
      </c>
      <c r="C73" s="18" t="s">
        <v>238</v>
      </c>
      <c r="D73" s="19"/>
      <c r="E73" s="20" t="s">
        <v>873</v>
      </c>
      <c r="F73" s="6"/>
      <c r="G73" s="6"/>
      <c r="H73" s="45"/>
      <c r="I73" s="6"/>
      <c r="J73" s="45"/>
      <c r="K73" s="118"/>
      <c r="L73" s="118"/>
      <c r="M73" s="6"/>
      <c r="N73" s="45"/>
      <c r="O73" s="6"/>
      <c r="P73" s="6"/>
      <c r="Q73" s="6"/>
      <c r="R73" s="6"/>
      <c r="S73" s="6">
        <v>1</v>
      </c>
      <c r="T73" s="45"/>
      <c r="U73" s="6"/>
      <c r="V73" s="6"/>
      <c r="W73" s="45"/>
      <c r="X73" s="6"/>
      <c r="Y73" s="6"/>
      <c r="Z73" s="6"/>
      <c r="AA73" s="6"/>
      <c r="AB73" s="6"/>
      <c r="AC73" s="7">
        <v>6.6</v>
      </c>
      <c r="AD73" s="5" t="s">
        <v>1</v>
      </c>
      <c r="AE73" s="47"/>
      <c r="AF73" s="46"/>
      <c r="AG73" s="128"/>
      <c r="AH73" s="100"/>
      <c r="AI73" s="100"/>
      <c r="AJ73" s="130"/>
      <c r="AK73" s="124"/>
      <c r="AL73" s="100"/>
      <c r="AM73" s="140"/>
      <c r="AN73" s="103">
        <v>10</v>
      </c>
      <c r="AO73" s="168">
        <v>10</v>
      </c>
      <c r="AP73" s="179">
        <v>2</v>
      </c>
      <c r="AQ73" s="103">
        <v>2</v>
      </c>
    </row>
    <row r="74" spans="1:43" ht="16.5" customHeight="1" x14ac:dyDescent="0.3">
      <c r="A74" s="48">
        <v>22</v>
      </c>
      <c r="B74" s="60" t="s">
        <v>854</v>
      </c>
      <c r="C74" s="18" t="s">
        <v>868</v>
      </c>
      <c r="D74" s="19"/>
      <c r="E74" s="20" t="s">
        <v>875</v>
      </c>
      <c r="F74" s="6"/>
      <c r="G74" s="6"/>
      <c r="H74" s="45"/>
      <c r="I74" s="6"/>
      <c r="J74" s="45"/>
      <c r="K74" s="118"/>
      <c r="L74" s="118"/>
      <c r="M74" s="6"/>
      <c r="N74" s="45"/>
      <c r="O74" s="6"/>
      <c r="P74" s="6"/>
      <c r="Q74" s="6"/>
      <c r="R74" s="6"/>
      <c r="S74" s="6">
        <v>1</v>
      </c>
      <c r="T74" s="45"/>
      <c r="U74" s="6"/>
      <c r="V74" s="6"/>
      <c r="W74" s="45"/>
      <c r="X74" s="6"/>
      <c r="Y74" s="6"/>
      <c r="Z74" s="6"/>
      <c r="AA74" s="6"/>
      <c r="AB74" s="6"/>
      <c r="AC74" s="7">
        <v>8</v>
      </c>
      <c r="AD74" s="5" t="s">
        <v>1</v>
      </c>
      <c r="AE74" s="47"/>
      <c r="AF74" s="46"/>
      <c r="AG74" s="128"/>
      <c r="AH74" s="100"/>
      <c r="AI74" s="100"/>
      <c r="AJ74" s="130"/>
      <c r="AK74" s="124"/>
      <c r="AL74" s="100"/>
      <c r="AM74" s="140"/>
      <c r="AN74" s="103">
        <v>6</v>
      </c>
      <c r="AO74" s="168">
        <v>6</v>
      </c>
      <c r="AP74" s="179">
        <v>4</v>
      </c>
      <c r="AQ74" s="103">
        <v>4</v>
      </c>
    </row>
    <row r="75" spans="1:43" ht="16.5" customHeight="1" x14ac:dyDescent="0.3">
      <c r="A75" s="48">
        <v>23</v>
      </c>
      <c r="B75" s="60" t="s">
        <v>855</v>
      </c>
      <c r="C75" s="18" t="s">
        <v>869</v>
      </c>
      <c r="D75" s="19"/>
      <c r="E75" s="20" t="s">
        <v>876</v>
      </c>
      <c r="F75" s="6"/>
      <c r="G75" s="6"/>
      <c r="H75" s="45"/>
      <c r="I75" s="6"/>
      <c r="J75" s="45"/>
      <c r="K75" s="118"/>
      <c r="L75" s="118"/>
      <c r="M75" s="6"/>
      <c r="N75" s="45"/>
      <c r="O75" s="6"/>
      <c r="P75" s="6"/>
      <c r="Q75" s="6"/>
      <c r="R75" s="6"/>
      <c r="S75" s="6">
        <v>1</v>
      </c>
      <c r="T75" s="45"/>
      <c r="U75" s="6"/>
      <c r="V75" s="6"/>
      <c r="W75" s="45"/>
      <c r="X75" s="6"/>
      <c r="Y75" s="6"/>
      <c r="Z75" s="6"/>
      <c r="AA75" s="6"/>
      <c r="AB75" s="6"/>
      <c r="AC75" s="7">
        <v>4.95</v>
      </c>
      <c r="AD75" s="5" t="s">
        <v>1</v>
      </c>
      <c r="AE75" s="47"/>
      <c r="AF75" s="46"/>
      <c r="AG75" s="128"/>
      <c r="AH75" s="100"/>
      <c r="AI75" s="100"/>
      <c r="AJ75" s="130"/>
      <c r="AK75" s="124"/>
      <c r="AL75" s="100"/>
      <c r="AM75" s="140"/>
      <c r="AN75" s="103">
        <v>6</v>
      </c>
      <c r="AO75" s="168">
        <v>6</v>
      </c>
      <c r="AP75" s="179">
        <v>4</v>
      </c>
      <c r="AQ75" s="103">
        <v>4</v>
      </c>
    </row>
    <row r="76" spans="1:43" ht="16.5" customHeight="1" x14ac:dyDescent="0.3">
      <c r="A76" s="48">
        <v>25</v>
      </c>
      <c r="B76" s="60" t="s">
        <v>856</v>
      </c>
      <c r="C76" s="18" t="s">
        <v>273</v>
      </c>
      <c r="D76" s="19"/>
      <c r="E76" s="20" t="s">
        <v>275</v>
      </c>
      <c r="F76" s="6"/>
      <c r="G76" s="6"/>
      <c r="H76" s="45"/>
      <c r="I76" s="6"/>
      <c r="J76" s="45"/>
      <c r="K76" s="118"/>
      <c r="L76" s="118"/>
      <c r="M76" s="6"/>
      <c r="N76" s="45"/>
      <c r="O76" s="6"/>
      <c r="P76" s="6"/>
      <c r="Q76" s="6"/>
      <c r="R76" s="6"/>
      <c r="S76" s="6">
        <v>1</v>
      </c>
      <c r="T76" s="45"/>
      <c r="U76" s="6"/>
      <c r="V76" s="6"/>
      <c r="W76" s="45"/>
      <c r="X76" s="6"/>
      <c r="Y76" s="6"/>
      <c r="Z76" s="6"/>
      <c r="AA76" s="6"/>
      <c r="AB76" s="6"/>
      <c r="AC76" s="7">
        <v>5.0539999999999994</v>
      </c>
      <c r="AD76" s="5" t="s">
        <v>261</v>
      </c>
      <c r="AE76" s="47"/>
      <c r="AF76" s="46"/>
      <c r="AG76" s="128"/>
      <c r="AH76" s="100"/>
      <c r="AI76" s="100"/>
      <c r="AJ76" s="130"/>
      <c r="AK76" s="124"/>
      <c r="AL76" s="100"/>
      <c r="AM76" s="140"/>
      <c r="AN76" s="103">
        <v>4</v>
      </c>
      <c r="AO76" s="168">
        <v>4</v>
      </c>
      <c r="AP76" s="124"/>
      <c r="AQ76" s="175"/>
    </row>
    <row r="77" spans="1:43" ht="16.5" customHeight="1" x14ac:dyDescent="0.3">
      <c r="A77" s="48"/>
      <c r="B77" s="60" t="s">
        <v>1050</v>
      </c>
      <c r="C77" s="18" t="s">
        <v>1051</v>
      </c>
      <c r="D77" s="19"/>
      <c r="E77" s="20" t="s">
        <v>1052</v>
      </c>
      <c r="F77" s="6"/>
      <c r="G77" s="6"/>
      <c r="H77" s="45"/>
      <c r="I77" s="6"/>
      <c r="J77" s="45"/>
      <c r="K77" s="118"/>
      <c r="L77" s="118"/>
      <c r="M77" s="6"/>
      <c r="N77" s="45"/>
      <c r="O77" s="6"/>
      <c r="P77" s="6"/>
      <c r="Q77" s="6">
        <v>1</v>
      </c>
      <c r="R77" s="6"/>
      <c r="S77" s="6"/>
      <c r="T77" s="45"/>
      <c r="U77" s="6"/>
      <c r="V77" s="6"/>
      <c r="W77" s="45"/>
      <c r="X77" s="6"/>
      <c r="Y77" s="6"/>
      <c r="Z77" s="6"/>
      <c r="AA77" s="6"/>
      <c r="AB77" s="6"/>
      <c r="AC77" s="7"/>
      <c r="AD77" s="5"/>
      <c r="AE77" s="47"/>
      <c r="AF77" s="46"/>
      <c r="AG77" s="128"/>
      <c r="AH77" s="100"/>
      <c r="AI77" s="100"/>
      <c r="AJ77" s="130"/>
      <c r="AK77" s="124"/>
      <c r="AL77" s="100"/>
      <c r="AM77" s="140"/>
      <c r="AN77" s="103"/>
      <c r="AO77" s="168"/>
      <c r="AP77" s="124"/>
      <c r="AQ77" s="175"/>
    </row>
    <row r="78" spans="1:43" ht="16.5" customHeight="1" x14ac:dyDescent="0.3">
      <c r="A78" s="51">
        <v>20</v>
      </c>
      <c r="B78" s="60" t="s">
        <v>852</v>
      </c>
      <c r="C78" s="18" t="s">
        <v>867</v>
      </c>
      <c r="D78" s="19"/>
      <c r="E78" s="20" t="s">
        <v>207</v>
      </c>
      <c r="F78" s="6"/>
      <c r="G78" s="6"/>
      <c r="H78" s="45"/>
      <c r="I78" s="6"/>
      <c r="J78" s="45"/>
      <c r="K78" s="118"/>
      <c r="L78" s="118"/>
      <c r="M78" s="6"/>
      <c r="N78" s="45"/>
      <c r="O78" s="6"/>
      <c r="P78" s="6"/>
      <c r="Q78" s="6"/>
      <c r="R78" s="6"/>
      <c r="S78" s="6">
        <v>1</v>
      </c>
      <c r="T78" s="45"/>
      <c r="U78" s="6"/>
      <c r="V78" s="6"/>
      <c r="W78" s="45"/>
      <c r="X78" s="6"/>
      <c r="Y78" s="6"/>
      <c r="Z78" s="6"/>
      <c r="AA78" s="6"/>
      <c r="AB78" s="6"/>
      <c r="AC78" s="7">
        <v>0.434</v>
      </c>
      <c r="AD78" s="5" t="s">
        <v>208</v>
      </c>
      <c r="AE78" s="47"/>
      <c r="AF78" s="46"/>
      <c r="AG78" s="128"/>
      <c r="AH78" s="100"/>
      <c r="AI78" s="100"/>
      <c r="AJ78" s="130"/>
      <c r="AK78" s="124"/>
      <c r="AL78" s="100"/>
      <c r="AM78" s="140"/>
      <c r="AN78" s="103">
        <v>5</v>
      </c>
      <c r="AO78" s="168">
        <v>5</v>
      </c>
      <c r="AP78" s="124"/>
      <c r="AQ78" s="175"/>
    </row>
    <row r="79" spans="1:43" ht="16.5" customHeight="1" x14ac:dyDescent="0.3">
      <c r="A79" s="51">
        <v>21</v>
      </c>
      <c r="B79" s="60" t="s">
        <v>853</v>
      </c>
      <c r="C79" s="18" t="s">
        <v>867</v>
      </c>
      <c r="D79" s="19"/>
      <c r="E79" s="20" t="s">
        <v>207</v>
      </c>
      <c r="F79" s="6"/>
      <c r="G79" s="6"/>
      <c r="H79" s="45"/>
      <c r="I79" s="6"/>
      <c r="J79" s="45"/>
      <c r="K79" s="118"/>
      <c r="L79" s="118"/>
      <c r="M79" s="6"/>
      <c r="N79" s="45"/>
      <c r="O79" s="6"/>
      <c r="P79" s="6"/>
      <c r="Q79" s="6"/>
      <c r="R79" s="6"/>
      <c r="S79" s="6">
        <v>1</v>
      </c>
      <c r="T79" s="45"/>
      <c r="U79" s="6"/>
      <c r="V79" s="6"/>
      <c r="W79" s="45"/>
      <c r="X79" s="6"/>
      <c r="Y79" s="6"/>
      <c r="Z79" s="6"/>
      <c r="AA79" s="6"/>
      <c r="AB79" s="6"/>
      <c r="AC79" s="7">
        <v>0.23799999999999999</v>
      </c>
      <c r="AD79" s="5" t="s">
        <v>208</v>
      </c>
      <c r="AE79" s="47"/>
      <c r="AF79" s="46"/>
      <c r="AG79" s="128"/>
      <c r="AH79" s="100"/>
      <c r="AI79" s="100"/>
      <c r="AJ79" s="130"/>
      <c r="AK79" s="124"/>
      <c r="AL79" s="100"/>
      <c r="AM79" s="140"/>
      <c r="AN79" s="103">
        <v>5</v>
      </c>
      <c r="AO79" s="168">
        <v>5</v>
      </c>
      <c r="AP79" s="124"/>
      <c r="AQ79" s="175"/>
    </row>
    <row r="80" spans="1:43" ht="16.5" customHeight="1" x14ac:dyDescent="0.3">
      <c r="A80" s="51">
        <v>13</v>
      </c>
      <c r="B80" s="60" t="s">
        <v>846</v>
      </c>
      <c r="C80" s="18" t="s">
        <v>865</v>
      </c>
      <c r="D80" s="19"/>
      <c r="E80" s="20" t="s">
        <v>207</v>
      </c>
      <c r="F80" s="6"/>
      <c r="G80" s="6"/>
      <c r="H80" s="45"/>
      <c r="I80" s="6"/>
      <c r="J80" s="45"/>
      <c r="K80" s="118"/>
      <c r="L80" s="118"/>
      <c r="M80" s="6"/>
      <c r="N80" s="45"/>
      <c r="O80" s="6"/>
      <c r="P80" s="6"/>
      <c r="Q80" s="6"/>
      <c r="R80" s="6"/>
      <c r="S80" s="6">
        <v>1</v>
      </c>
      <c r="T80" s="45"/>
      <c r="U80" s="6"/>
      <c r="V80" s="6"/>
      <c r="W80" s="45"/>
      <c r="X80" s="6"/>
      <c r="Y80" s="6"/>
      <c r="Z80" s="6"/>
      <c r="AA80" s="6"/>
      <c r="AB80" s="6"/>
      <c r="AC80" s="7">
        <v>0.154</v>
      </c>
      <c r="AD80" s="5" t="s">
        <v>208</v>
      </c>
      <c r="AE80" s="47"/>
      <c r="AF80" s="46"/>
      <c r="AG80" s="128"/>
      <c r="AH80" s="100"/>
      <c r="AI80" s="100"/>
      <c r="AJ80" s="130"/>
      <c r="AK80" s="124"/>
      <c r="AL80" s="100"/>
      <c r="AM80" s="140"/>
      <c r="AN80" s="103">
        <v>5</v>
      </c>
      <c r="AO80" s="168">
        <v>5</v>
      </c>
      <c r="AP80" s="124"/>
      <c r="AQ80" s="175"/>
    </row>
    <row r="81" spans="1:43" ht="16.5" customHeight="1" x14ac:dyDescent="0.3">
      <c r="A81" s="51">
        <v>14</v>
      </c>
      <c r="B81" s="60" t="s">
        <v>847</v>
      </c>
      <c r="C81" s="18" t="s">
        <v>214</v>
      </c>
      <c r="D81" s="19"/>
      <c r="E81" s="20" t="s">
        <v>207</v>
      </c>
      <c r="F81" s="6"/>
      <c r="G81" s="6"/>
      <c r="H81" s="45"/>
      <c r="I81" s="6"/>
      <c r="J81" s="45"/>
      <c r="K81" s="118"/>
      <c r="L81" s="118"/>
      <c r="M81" s="6"/>
      <c r="N81" s="45"/>
      <c r="O81" s="6"/>
      <c r="P81" s="6"/>
      <c r="Q81" s="6"/>
      <c r="R81" s="6"/>
      <c r="S81" s="6">
        <v>1</v>
      </c>
      <c r="T81" s="45"/>
      <c r="U81" s="6"/>
      <c r="V81" s="6"/>
      <c r="W81" s="45"/>
      <c r="X81" s="6"/>
      <c r="Y81" s="6"/>
      <c r="Z81" s="6"/>
      <c r="AA81" s="6"/>
      <c r="AB81" s="6"/>
      <c r="AC81" s="7">
        <v>4.1999999999999996E-2</v>
      </c>
      <c r="AD81" s="5" t="s">
        <v>208</v>
      </c>
      <c r="AE81" s="47"/>
      <c r="AF81" s="46"/>
      <c r="AG81" s="128"/>
      <c r="AH81" s="100"/>
      <c r="AI81" s="100"/>
      <c r="AJ81" s="130"/>
      <c r="AK81" s="124"/>
      <c r="AL81" s="100"/>
      <c r="AM81" s="140"/>
      <c r="AN81" s="103">
        <v>5</v>
      </c>
      <c r="AO81" s="168">
        <v>5</v>
      </c>
      <c r="AP81" s="124"/>
      <c r="AQ81" s="175"/>
    </row>
    <row r="82" spans="1:43" ht="16.5" customHeight="1" x14ac:dyDescent="0.3">
      <c r="A82" s="58">
        <v>9</v>
      </c>
      <c r="B82" s="60" t="s">
        <v>844</v>
      </c>
      <c r="C82" s="18" t="s">
        <v>863</v>
      </c>
      <c r="D82" s="19"/>
      <c r="E82" s="20" t="s">
        <v>207</v>
      </c>
      <c r="F82" s="6"/>
      <c r="G82" s="6"/>
      <c r="H82" s="45"/>
      <c r="I82" s="6"/>
      <c r="J82" s="45"/>
      <c r="K82" s="118"/>
      <c r="L82" s="118"/>
      <c r="M82" s="6"/>
      <c r="N82" s="45"/>
      <c r="O82" s="6"/>
      <c r="P82" s="6"/>
      <c r="Q82" s="6"/>
      <c r="R82" s="6"/>
      <c r="S82" s="6">
        <v>1</v>
      </c>
      <c r="T82" s="45"/>
      <c r="U82" s="6"/>
      <c r="V82" s="6"/>
      <c r="W82" s="45"/>
      <c r="X82" s="6"/>
      <c r="Y82" s="6"/>
      <c r="Z82" s="6"/>
      <c r="AA82" s="6"/>
      <c r="AB82" s="6"/>
      <c r="AC82" s="7">
        <v>20.047999999999998</v>
      </c>
      <c r="AD82" s="5" t="s">
        <v>208</v>
      </c>
      <c r="AE82" s="47"/>
      <c r="AF82" s="46"/>
      <c r="AG82" s="128"/>
      <c r="AH82" s="100"/>
      <c r="AI82" s="100"/>
      <c r="AJ82" s="130"/>
      <c r="AK82" s="124"/>
      <c r="AL82" s="100"/>
      <c r="AM82" s="140"/>
      <c r="AN82" s="124"/>
      <c r="AO82" s="168"/>
      <c r="AP82" s="124"/>
      <c r="AQ82" s="175"/>
    </row>
    <row r="83" spans="1:43" ht="16.5" customHeight="1" x14ac:dyDescent="0.3">
      <c r="A83" s="58">
        <v>26</v>
      </c>
      <c r="B83" s="60" t="s">
        <v>857</v>
      </c>
      <c r="C83" s="18" t="s">
        <v>320</v>
      </c>
      <c r="D83" s="19"/>
      <c r="E83" s="20" t="s">
        <v>322</v>
      </c>
      <c r="F83" s="6"/>
      <c r="G83" s="6"/>
      <c r="H83" s="45"/>
      <c r="I83" s="6"/>
      <c r="J83" s="45"/>
      <c r="K83" s="118"/>
      <c r="L83" s="118"/>
      <c r="M83" s="6"/>
      <c r="N83" s="45"/>
      <c r="O83" s="6"/>
      <c r="P83" s="6"/>
      <c r="Q83" s="6"/>
      <c r="R83" s="6"/>
      <c r="S83" s="6">
        <v>1</v>
      </c>
      <c r="T83" s="45"/>
      <c r="U83" s="6"/>
      <c r="V83" s="6"/>
      <c r="W83" s="45"/>
      <c r="X83" s="6"/>
      <c r="Y83" s="6"/>
      <c r="Z83" s="6"/>
      <c r="AA83" s="6"/>
      <c r="AB83" s="6"/>
      <c r="AC83" s="7">
        <v>0.19600000000000001</v>
      </c>
      <c r="AD83" s="5" t="s">
        <v>294</v>
      </c>
      <c r="AE83" s="47"/>
      <c r="AF83" s="46"/>
      <c r="AG83" s="128"/>
      <c r="AH83" s="100"/>
      <c r="AI83" s="100"/>
      <c r="AJ83" s="130"/>
      <c r="AK83" s="124"/>
      <c r="AL83" s="100"/>
      <c r="AM83" s="140"/>
      <c r="AN83" s="124"/>
      <c r="AO83" s="168"/>
      <c r="AP83" s="124"/>
      <c r="AQ83" s="175"/>
    </row>
    <row r="84" spans="1:43" ht="16.5" customHeight="1" x14ac:dyDescent="0.3">
      <c r="A84" s="58">
        <v>27</v>
      </c>
      <c r="B84" s="60" t="s">
        <v>858</v>
      </c>
      <c r="C84" s="18" t="s">
        <v>314</v>
      </c>
      <c r="D84" s="19"/>
      <c r="E84" s="20" t="s">
        <v>316</v>
      </c>
      <c r="F84" s="6"/>
      <c r="G84" s="6"/>
      <c r="H84" s="45"/>
      <c r="I84" s="6"/>
      <c r="J84" s="45"/>
      <c r="K84" s="118"/>
      <c r="L84" s="118"/>
      <c r="M84" s="6"/>
      <c r="N84" s="45"/>
      <c r="O84" s="6"/>
      <c r="P84" s="6"/>
      <c r="Q84" s="6"/>
      <c r="R84" s="6"/>
      <c r="S84" s="6">
        <v>1</v>
      </c>
      <c r="T84" s="45"/>
      <c r="U84" s="6"/>
      <c r="V84" s="6"/>
      <c r="W84" s="45"/>
      <c r="X84" s="6"/>
      <c r="Y84" s="6"/>
      <c r="Z84" s="6"/>
      <c r="AA84" s="6"/>
      <c r="AB84" s="6"/>
      <c r="AC84" s="7">
        <v>1.6099999999999999</v>
      </c>
      <c r="AD84" s="5" t="s">
        <v>294</v>
      </c>
      <c r="AE84" s="47"/>
      <c r="AF84" s="46"/>
      <c r="AG84" s="128"/>
      <c r="AH84" s="100"/>
      <c r="AI84" s="100"/>
      <c r="AJ84" s="130"/>
      <c r="AK84" s="124"/>
      <c r="AL84" s="100"/>
      <c r="AM84" s="140"/>
      <c r="AN84" s="124"/>
      <c r="AO84" s="168"/>
      <c r="AP84" s="124"/>
      <c r="AQ84" s="175"/>
    </row>
    <row r="85" spans="1:43" ht="16.5" customHeight="1" x14ac:dyDescent="0.3">
      <c r="A85" s="58" t="s">
        <v>307</v>
      </c>
      <c r="B85" s="60" t="s">
        <v>859</v>
      </c>
      <c r="C85" s="18" t="s">
        <v>309</v>
      </c>
      <c r="D85" s="19"/>
      <c r="E85" s="20" t="s">
        <v>311</v>
      </c>
      <c r="F85" s="6"/>
      <c r="G85" s="6"/>
      <c r="H85" s="45"/>
      <c r="I85" s="6"/>
      <c r="J85" s="45"/>
      <c r="K85" s="118"/>
      <c r="L85" s="118"/>
      <c r="M85" s="6"/>
      <c r="N85" s="45"/>
      <c r="O85" s="6"/>
      <c r="P85" s="6"/>
      <c r="Q85" s="6"/>
      <c r="R85" s="6"/>
      <c r="S85" s="6">
        <v>1</v>
      </c>
      <c r="T85" s="45"/>
      <c r="U85" s="6"/>
      <c r="V85" s="6"/>
      <c r="W85" s="45"/>
      <c r="X85" s="6"/>
      <c r="Y85" s="6"/>
      <c r="Z85" s="6"/>
      <c r="AA85" s="6"/>
      <c r="AB85" s="6"/>
      <c r="AC85" s="7">
        <v>0.13999999999999999</v>
      </c>
      <c r="AD85" s="5" t="s">
        <v>294</v>
      </c>
      <c r="AE85" s="47"/>
      <c r="AF85" s="46"/>
      <c r="AG85" s="128"/>
      <c r="AH85" s="100"/>
      <c r="AI85" s="100"/>
      <c r="AJ85" s="130"/>
      <c r="AK85" s="124"/>
      <c r="AL85" s="100"/>
      <c r="AM85" s="140"/>
      <c r="AN85" s="124"/>
      <c r="AO85" s="168"/>
      <c r="AP85" s="124"/>
      <c r="AQ85" s="175"/>
    </row>
    <row r="86" spans="1:43" ht="16.5" customHeight="1" x14ac:dyDescent="0.3">
      <c r="A86" s="58">
        <v>30</v>
      </c>
      <c r="B86" s="60" t="s">
        <v>860</v>
      </c>
      <c r="C86" s="18" t="s">
        <v>314</v>
      </c>
      <c r="D86" s="19"/>
      <c r="E86" s="20" t="s">
        <v>316</v>
      </c>
      <c r="F86" s="6"/>
      <c r="G86" s="6"/>
      <c r="H86" s="45"/>
      <c r="I86" s="6"/>
      <c r="J86" s="45"/>
      <c r="K86" s="118"/>
      <c r="L86" s="118"/>
      <c r="M86" s="6"/>
      <c r="N86" s="45"/>
      <c r="O86" s="6"/>
      <c r="P86" s="6"/>
      <c r="Q86" s="6"/>
      <c r="R86" s="6"/>
      <c r="S86" s="6">
        <v>1</v>
      </c>
      <c r="T86" s="45"/>
      <c r="U86" s="6"/>
      <c r="V86" s="6"/>
      <c r="W86" s="45"/>
      <c r="X86" s="6"/>
      <c r="Y86" s="6"/>
      <c r="Z86" s="6"/>
      <c r="AA86" s="6"/>
      <c r="AB86" s="6"/>
      <c r="AC86" s="7">
        <v>1.9319999999999997</v>
      </c>
      <c r="AD86" s="5" t="s">
        <v>294</v>
      </c>
      <c r="AE86" s="47"/>
      <c r="AF86" s="46"/>
      <c r="AG86" s="128"/>
      <c r="AH86" s="100"/>
      <c r="AI86" s="100"/>
      <c r="AJ86" s="130"/>
      <c r="AK86" s="124"/>
      <c r="AL86" s="100"/>
      <c r="AM86" s="140"/>
      <c r="AN86" s="124"/>
      <c r="AO86" s="168"/>
      <c r="AP86" s="124"/>
      <c r="AQ86" s="175"/>
    </row>
    <row r="87" spans="1:43" ht="16.5" customHeight="1" x14ac:dyDescent="0.3">
      <c r="A87" s="58">
        <v>3</v>
      </c>
      <c r="B87" s="18" t="s">
        <v>290</v>
      </c>
      <c r="C87" s="18" t="s">
        <v>291</v>
      </c>
      <c r="D87" s="19" t="s">
        <v>292</v>
      </c>
      <c r="E87" s="20" t="s">
        <v>293</v>
      </c>
      <c r="F87" s="6"/>
      <c r="G87" s="6"/>
      <c r="H87" s="45">
        <v>1</v>
      </c>
      <c r="I87" s="6">
        <v>1</v>
      </c>
      <c r="J87" s="45"/>
      <c r="K87" s="118"/>
      <c r="L87" s="118"/>
      <c r="M87" s="6">
        <v>1</v>
      </c>
      <c r="N87" s="45"/>
      <c r="O87" s="6"/>
      <c r="P87" s="6"/>
      <c r="Q87" s="6"/>
      <c r="R87" s="6"/>
      <c r="S87" s="6"/>
      <c r="T87" s="45">
        <v>1</v>
      </c>
      <c r="U87" s="6">
        <v>1</v>
      </c>
      <c r="V87" s="6"/>
      <c r="W87" s="45"/>
      <c r="X87" s="6"/>
      <c r="Y87" s="6"/>
      <c r="Z87" s="6"/>
      <c r="AA87" s="6"/>
      <c r="AB87" s="6">
        <v>1</v>
      </c>
      <c r="AC87" s="7">
        <v>7.0000000000000007E-2</v>
      </c>
      <c r="AD87" s="5" t="s">
        <v>294</v>
      </c>
      <c r="AE87" s="47"/>
      <c r="AF87" s="46"/>
      <c r="AG87" s="82"/>
      <c r="AH87" s="100"/>
      <c r="AI87" s="100"/>
      <c r="AJ87" s="130"/>
      <c r="AK87" s="124"/>
      <c r="AL87" s="100"/>
      <c r="AM87" s="140"/>
      <c r="AN87" s="124"/>
      <c r="AO87" s="168"/>
      <c r="AP87" s="124"/>
      <c r="AQ87" s="175"/>
    </row>
    <row r="88" spans="1:43" ht="16.5" customHeight="1" x14ac:dyDescent="0.3">
      <c r="A88" s="58">
        <v>12</v>
      </c>
      <c r="B88" s="18" t="s">
        <v>295</v>
      </c>
      <c r="C88" s="18" t="s">
        <v>296</v>
      </c>
      <c r="D88" s="19" t="s">
        <v>297</v>
      </c>
      <c r="E88" s="20" t="s">
        <v>298</v>
      </c>
      <c r="F88" s="6"/>
      <c r="G88" s="6"/>
      <c r="H88" s="45">
        <v>2</v>
      </c>
      <c r="I88" s="6">
        <v>1</v>
      </c>
      <c r="J88" s="45"/>
      <c r="K88" s="118"/>
      <c r="L88" s="118"/>
      <c r="M88" s="6">
        <v>1</v>
      </c>
      <c r="N88" s="45"/>
      <c r="O88" s="6"/>
      <c r="P88" s="6"/>
      <c r="Q88" s="6"/>
      <c r="R88" s="6"/>
      <c r="S88" s="6"/>
      <c r="T88" s="45">
        <v>2</v>
      </c>
      <c r="U88" s="6">
        <v>1</v>
      </c>
      <c r="V88" s="6"/>
      <c r="W88" s="45"/>
      <c r="X88" s="6"/>
      <c r="Y88" s="6"/>
      <c r="Z88" s="6"/>
      <c r="AA88" s="6"/>
      <c r="AB88" s="6">
        <v>2</v>
      </c>
      <c r="AC88" s="7">
        <v>0.46199999999999997</v>
      </c>
      <c r="AD88" s="5" t="s">
        <v>294</v>
      </c>
      <c r="AE88" s="47">
        <v>0</v>
      </c>
      <c r="AF88" s="46">
        <v>5</v>
      </c>
      <c r="AG88" s="82"/>
      <c r="AH88" s="100"/>
      <c r="AI88" s="100"/>
      <c r="AJ88" s="130"/>
      <c r="AK88" s="124"/>
      <c r="AL88" s="100"/>
      <c r="AM88" s="140"/>
      <c r="AN88" s="124"/>
      <c r="AO88" s="168"/>
      <c r="AP88" s="124"/>
      <c r="AQ88" s="175"/>
    </row>
    <row r="89" spans="1:43" ht="16.5" customHeight="1" x14ac:dyDescent="0.3">
      <c r="A89" s="58">
        <v>14</v>
      </c>
      <c r="B89" s="18" t="s">
        <v>299</v>
      </c>
      <c r="C89" s="18" t="s">
        <v>300</v>
      </c>
      <c r="D89" s="19" t="s">
        <v>301</v>
      </c>
      <c r="E89" s="20" t="s">
        <v>302</v>
      </c>
      <c r="F89" s="6"/>
      <c r="G89" s="6"/>
      <c r="H89" s="45">
        <v>21</v>
      </c>
      <c r="I89" s="6"/>
      <c r="J89" s="45">
        <v>28</v>
      </c>
      <c r="K89" s="118">
        <v>28</v>
      </c>
      <c r="L89" s="118">
        <v>28</v>
      </c>
      <c r="M89" s="6"/>
      <c r="N89" s="45">
        <v>28</v>
      </c>
      <c r="O89" s="6"/>
      <c r="P89" s="6"/>
      <c r="Q89" s="6">
        <v>28</v>
      </c>
      <c r="R89" s="6">
        <v>28</v>
      </c>
      <c r="S89" s="6"/>
      <c r="T89" s="45">
        <v>21</v>
      </c>
      <c r="U89" s="59">
        <v>21</v>
      </c>
      <c r="V89" s="6">
        <v>28</v>
      </c>
      <c r="W89" s="45">
        <v>28</v>
      </c>
      <c r="X89" s="6"/>
      <c r="Y89" s="6"/>
      <c r="Z89" s="6">
        <v>28</v>
      </c>
      <c r="AA89" s="6">
        <v>28</v>
      </c>
      <c r="AB89" s="6">
        <v>21</v>
      </c>
      <c r="AC89" s="7">
        <v>1.3999999999999999E-2</v>
      </c>
      <c r="AD89" s="5" t="s">
        <v>294</v>
      </c>
      <c r="AE89" s="47">
        <v>1</v>
      </c>
      <c r="AF89" s="46">
        <v>99</v>
      </c>
      <c r="AG89" s="82"/>
      <c r="AH89" s="100"/>
      <c r="AI89" s="100"/>
      <c r="AJ89" s="130"/>
      <c r="AK89" s="124"/>
      <c r="AL89" s="100"/>
      <c r="AM89" s="140"/>
      <c r="AN89" s="124"/>
      <c r="AO89" s="168"/>
      <c r="AP89" s="124"/>
      <c r="AQ89" s="175"/>
    </row>
    <row r="90" spans="1:43" ht="16.5" customHeight="1" x14ac:dyDescent="0.3">
      <c r="A90" s="58">
        <v>15</v>
      </c>
      <c r="B90" s="18" t="s">
        <v>303</v>
      </c>
      <c r="C90" s="18" t="s">
        <v>304</v>
      </c>
      <c r="D90" s="19" t="s">
        <v>305</v>
      </c>
      <c r="E90" s="20" t="s">
        <v>306</v>
      </c>
      <c r="F90" s="6"/>
      <c r="G90" s="6"/>
      <c r="H90" s="45">
        <v>6</v>
      </c>
      <c r="I90" s="6"/>
      <c r="J90" s="45">
        <v>8</v>
      </c>
      <c r="K90" s="118">
        <v>8</v>
      </c>
      <c r="L90" s="118">
        <v>8</v>
      </c>
      <c r="M90" s="6"/>
      <c r="N90" s="45">
        <v>8</v>
      </c>
      <c r="O90" s="6"/>
      <c r="P90" s="6"/>
      <c r="Q90" s="6">
        <v>8</v>
      </c>
      <c r="R90" s="6">
        <v>8</v>
      </c>
      <c r="S90" s="6"/>
      <c r="T90" s="45">
        <v>6</v>
      </c>
      <c r="U90" s="59">
        <v>6</v>
      </c>
      <c r="V90" s="6"/>
      <c r="W90" s="45">
        <v>8</v>
      </c>
      <c r="X90" s="6"/>
      <c r="Y90" s="6"/>
      <c r="Z90" s="6">
        <v>8</v>
      </c>
      <c r="AA90" s="6">
        <v>8</v>
      </c>
      <c r="AB90" s="6">
        <v>6</v>
      </c>
      <c r="AC90" s="7">
        <v>1.3999999999999999E-2</v>
      </c>
      <c r="AD90" s="5" t="s">
        <v>294</v>
      </c>
      <c r="AE90" s="47">
        <v>1</v>
      </c>
      <c r="AF90" s="46">
        <v>99</v>
      </c>
      <c r="AG90" s="82"/>
      <c r="AH90" s="100"/>
      <c r="AI90" s="100"/>
      <c r="AJ90" s="130"/>
      <c r="AK90" s="124"/>
      <c r="AL90" s="100"/>
      <c r="AM90" s="140"/>
      <c r="AN90" s="124"/>
      <c r="AO90" s="168"/>
      <c r="AP90" s="124"/>
      <c r="AQ90" s="175"/>
    </row>
    <row r="91" spans="1:43" ht="16.5" customHeight="1" x14ac:dyDescent="0.3">
      <c r="A91" s="58">
        <v>9</v>
      </c>
      <c r="B91" s="18" t="s">
        <v>1043</v>
      </c>
      <c r="C91" s="18" t="s">
        <v>1042</v>
      </c>
      <c r="D91" s="19"/>
      <c r="E91" s="20" t="s">
        <v>1044</v>
      </c>
      <c r="F91" s="6"/>
      <c r="G91" s="6"/>
      <c r="H91" s="45"/>
      <c r="I91" s="6"/>
      <c r="J91" s="45"/>
      <c r="K91" s="118"/>
      <c r="L91" s="118"/>
      <c r="M91" s="6"/>
      <c r="N91" s="45"/>
      <c r="O91" s="6"/>
      <c r="P91" s="6"/>
      <c r="Q91" s="6"/>
      <c r="R91" s="6"/>
      <c r="S91" s="6"/>
      <c r="T91" s="45"/>
      <c r="U91" s="6"/>
      <c r="V91" s="6">
        <v>8</v>
      </c>
      <c r="W91" s="45"/>
      <c r="X91" s="6"/>
      <c r="Y91" s="6"/>
      <c r="Z91" s="6"/>
      <c r="AA91" s="6"/>
      <c r="AB91" s="6"/>
      <c r="AC91" s="7">
        <v>0.01</v>
      </c>
      <c r="AD91" s="5" t="s">
        <v>294</v>
      </c>
      <c r="AE91" s="47"/>
      <c r="AF91" s="46"/>
      <c r="AG91" s="82"/>
      <c r="AH91" s="100"/>
      <c r="AI91" s="100"/>
      <c r="AJ91" s="130"/>
      <c r="AK91" s="124"/>
      <c r="AL91" s="100"/>
      <c r="AM91" s="140"/>
      <c r="AN91" s="124"/>
      <c r="AO91" s="168"/>
      <c r="AP91" s="179">
        <v>100</v>
      </c>
      <c r="AQ91" s="103">
        <v>100</v>
      </c>
    </row>
    <row r="92" spans="1:43" ht="16.5" customHeight="1" x14ac:dyDescent="0.3">
      <c r="A92" s="58" t="s">
        <v>307</v>
      </c>
      <c r="B92" s="18" t="s">
        <v>308</v>
      </c>
      <c r="C92" s="18" t="s">
        <v>309</v>
      </c>
      <c r="D92" s="19" t="s">
        <v>310</v>
      </c>
      <c r="E92" s="20" t="s">
        <v>311</v>
      </c>
      <c r="F92" s="6">
        <v>1</v>
      </c>
      <c r="G92" s="6">
        <v>1</v>
      </c>
      <c r="H92" s="45"/>
      <c r="I92" s="6"/>
      <c r="J92" s="45">
        <v>1</v>
      </c>
      <c r="K92" s="118">
        <v>1</v>
      </c>
      <c r="L92" s="118">
        <v>1</v>
      </c>
      <c r="M92" s="6"/>
      <c r="N92" s="45">
        <v>1</v>
      </c>
      <c r="O92" s="6">
        <v>1</v>
      </c>
      <c r="P92" s="6">
        <v>1</v>
      </c>
      <c r="Q92" s="6">
        <v>1</v>
      </c>
      <c r="R92" s="6">
        <v>1</v>
      </c>
      <c r="S92" s="6"/>
      <c r="T92" s="45"/>
      <c r="U92" s="6"/>
      <c r="V92" s="6">
        <v>1</v>
      </c>
      <c r="W92" s="45">
        <v>1</v>
      </c>
      <c r="X92" s="6">
        <v>1</v>
      </c>
      <c r="Y92" s="6">
        <v>1</v>
      </c>
      <c r="Z92" s="6">
        <v>1</v>
      </c>
      <c r="AA92" s="6">
        <v>1</v>
      </c>
      <c r="AB92" s="6"/>
      <c r="AC92" s="7">
        <v>8.3999999999999991E-2</v>
      </c>
      <c r="AD92" s="5" t="s">
        <v>294</v>
      </c>
      <c r="AE92" s="47">
        <v>3</v>
      </c>
      <c r="AF92" s="46">
        <v>17</v>
      </c>
      <c r="AG92" s="103">
        <v>10</v>
      </c>
      <c r="AH92" s="100">
        <v>10</v>
      </c>
      <c r="AI92" s="100"/>
      <c r="AJ92" s="150">
        <v>10</v>
      </c>
      <c r="AK92" s="124"/>
      <c r="AL92" s="100"/>
      <c r="AM92" s="140">
        <v>10</v>
      </c>
      <c r="AN92" s="124"/>
      <c r="AO92" s="168"/>
      <c r="AP92" s="124"/>
      <c r="AQ92" s="175"/>
    </row>
    <row r="93" spans="1:43" ht="16.5" customHeight="1" x14ac:dyDescent="0.3">
      <c r="A93" s="58" t="s">
        <v>312</v>
      </c>
      <c r="B93" s="18" t="s">
        <v>313</v>
      </c>
      <c r="C93" s="18" t="s">
        <v>314</v>
      </c>
      <c r="D93" s="19" t="s">
        <v>315</v>
      </c>
      <c r="E93" s="20" t="s">
        <v>316</v>
      </c>
      <c r="F93" s="6">
        <v>1</v>
      </c>
      <c r="G93" s="6">
        <v>1</v>
      </c>
      <c r="H93" s="45"/>
      <c r="I93" s="6"/>
      <c r="J93" s="45"/>
      <c r="K93" s="118"/>
      <c r="L93" s="118"/>
      <c r="M93" s="6"/>
      <c r="N93" s="45"/>
      <c r="O93" s="6">
        <v>1</v>
      </c>
      <c r="P93" s="6">
        <v>1</v>
      </c>
      <c r="Q93" s="6"/>
      <c r="R93" s="6"/>
      <c r="S93" s="6"/>
      <c r="T93" s="45"/>
      <c r="U93" s="6"/>
      <c r="V93" s="6"/>
      <c r="W93" s="45"/>
      <c r="X93" s="6">
        <v>1</v>
      </c>
      <c r="Y93" s="6">
        <v>1</v>
      </c>
      <c r="Z93" s="6"/>
      <c r="AA93" s="6"/>
      <c r="AB93" s="6"/>
      <c r="AC93" s="7">
        <v>5.1043948955999996</v>
      </c>
      <c r="AD93" s="5" t="s">
        <v>294</v>
      </c>
      <c r="AE93" s="47">
        <v>1</v>
      </c>
      <c r="AF93" s="46">
        <v>3</v>
      </c>
      <c r="AG93" s="82"/>
      <c r="AH93" s="100"/>
      <c r="AI93" s="100"/>
      <c r="AJ93" s="130"/>
      <c r="AK93" s="124"/>
      <c r="AL93" s="100"/>
      <c r="AM93" s="140"/>
      <c r="AN93" s="124"/>
      <c r="AO93" s="168"/>
      <c r="AP93" s="124"/>
      <c r="AQ93" s="175"/>
    </row>
    <row r="94" spans="1:43" ht="16.5" customHeight="1" x14ac:dyDescent="0.3">
      <c r="A94" s="58">
        <v>1</v>
      </c>
      <c r="B94" s="18" t="s">
        <v>317</v>
      </c>
      <c r="C94" s="18" t="s">
        <v>314</v>
      </c>
      <c r="D94" s="19" t="s">
        <v>315</v>
      </c>
      <c r="E94" s="20" t="s">
        <v>316</v>
      </c>
      <c r="F94" s="6"/>
      <c r="G94" s="6"/>
      <c r="H94" s="45">
        <v>1</v>
      </c>
      <c r="I94" s="6">
        <v>1</v>
      </c>
      <c r="J94" s="45"/>
      <c r="K94" s="118"/>
      <c r="L94" s="118"/>
      <c r="M94" s="6">
        <v>1</v>
      </c>
      <c r="N94" s="45"/>
      <c r="O94" s="6"/>
      <c r="P94" s="6"/>
      <c r="Q94" s="6"/>
      <c r="R94" s="6"/>
      <c r="S94" s="6"/>
      <c r="T94" s="45">
        <v>1</v>
      </c>
      <c r="U94" s="6">
        <v>1</v>
      </c>
      <c r="V94" s="6"/>
      <c r="W94" s="45"/>
      <c r="X94" s="6"/>
      <c r="Y94" s="6"/>
      <c r="Z94" s="6"/>
      <c r="AA94" s="6"/>
      <c r="AB94" s="6">
        <v>1</v>
      </c>
      <c r="AC94" s="7">
        <v>1.8479999999999999</v>
      </c>
      <c r="AD94" s="5" t="s">
        <v>294</v>
      </c>
      <c r="AE94" s="47">
        <v>0</v>
      </c>
      <c r="AF94" s="46">
        <v>2</v>
      </c>
      <c r="AG94" s="82"/>
      <c r="AH94" s="100"/>
      <c r="AI94" s="100"/>
      <c r="AJ94" s="130"/>
      <c r="AK94" s="124"/>
      <c r="AL94" s="100"/>
      <c r="AM94" s="140"/>
      <c r="AN94" s="124"/>
      <c r="AO94" s="168"/>
      <c r="AP94" s="124"/>
      <c r="AQ94" s="175"/>
    </row>
    <row r="95" spans="1:43" ht="16.5" customHeight="1" x14ac:dyDescent="0.3">
      <c r="A95" s="58">
        <v>1</v>
      </c>
      <c r="B95" s="60" t="s">
        <v>335</v>
      </c>
      <c r="C95" s="18" t="s">
        <v>314</v>
      </c>
      <c r="D95" s="19" t="s">
        <v>315</v>
      </c>
      <c r="E95" s="20" t="s">
        <v>316</v>
      </c>
      <c r="F95" s="6"/>
      <c r="G95" s="6"/>
      <c r="H95" s="45"/>
      <c r="I95" s="6"/>
      <c r="J95" s="45">
        <v>1</v>
      </c>
      <c r="K95" s="118">
        <v>1</v>
      </c>
      <c r="L95" s="118">
        <v>1</v>
      </c>
      <c r="M95" s="6"/>
      <c r="N95" s="45">
        <v>1</v>
      </c>
      <c r="O95" s="6"/>
      <c r="P95" s="6"/>
      <c r="Q95" s="6">
        <v>1</v>
      </c>
      <c r="R95" s="6">
        <v>1</v>
      </c>
      <c r="S95" s="6"/>
      <c r="T95" s="45"/>
      <c r="U95" s="6"/>
      <c r="V95" s="6">
        <v>1</v>
      </c>
      <c r="W95" s="45">
        <v>1</v>
      </c>
      <c r="X95" s="6"/>
      <c r="Y95" s="6"/>
      <c r="Z95" s="6">
        <v>1</v>
      </c>
      <c r="AA95" s="6">
        <v>1</v>
      </c>
      <c r="AB95" s="6"/>
      <c r="AC95" s="7">
        <v>4.4659999999999993</v>
      </c>
      <c r="AD95" s="5" t="s">
        <v>294</v>
      </c>
      <c r="AE95" s="47">
        <v>0</v>
      </c>
      <c r="AF95" s="46">
        <v>2</v>
      </c>
      <c r="AG95" s="103">
        <v>2</v>
      </c>
      <c r="AH95" s="100">
        <v>2</v>
      </c>
      <c r="AI95" s="100"/>
      <c r="AJ95" s="130"/>
      <c r="AK95" s="124"/>
      <c r="AL95" s="100"/>
      <c r="AM95" s="140"/>
      <c r="AN95" s="124"/>
      <c r="AO95" s="168"/>
      <c r="AP95" s="124"/>
      <c r="AQ95" s="175"/>
    </row>
    <row r="96" spans="1:43" ht="16.5" customHeight="1" x14ac:dyDescent="0.3">
      <c r="A96" s="58" t="s">
        <v>318</v>
      </c>
      <c r="B96" s="18" t="s">
        <v>319</v>
      </c>
      <c r="C96" s="18" t="s">
        <v>320</v>
      </c>
      <c r="D96" s="19" t="s">
        <v>321</v>
      </c>
      <c r="E96" s="20" t="s">
        <v>322</v>
      </c>
      <c r="F96" s="6">
        <v>1</v>
      </c>
      <c r="G96" s="6">
        <v>1</v>
      </c>
      <c r="H96" s="45"/>
      <c r="I96" s="6"/>
      <c r="J96" s="45"/>
      <c r="K96" s="118"/>
      <c r="L96" s="118"/>
      <c r="M96" s="6"/>
      <c r="N96" s="45"/>
      <c r="O96" s="6">
        <v>1</v>
      </c>
      <c r="P96" s="6">
        <v>1</v>
      </c>
      <c r="Q96" s="6"/>
      <c r="R96" s="6"/>
      <c r="S96" s="6"/>
      <c r="T96" s="45"/>
      <c r="U96" s="6"/>
      <c r="V96" s="6"/>
      <c r="W96" s="45"/>
      <c r="X96" s="6">
        <v>1</v>
      </c>
      <c r="Y96" s="6">
        <v>1</v>
      </c>
      <c r="Z96" s="6"/>
      <c r="AA96" s="6"/>
      <c r="AB96" s="6"/>
      <c r="AC96" s="7">
        <v>0.13999986</v>
      </c>
      <c r="AD96" s="5" t="s">
        <v>294</v>
      </c>
      <c r="AE96" s="47"/>
      <c r="AF96" s="46"/>
      <c r="AG96" s="82"/>
      <c r="AH96" s="100"/>
      <c r="AI96" s="100"/>
      <c r="AJ96" s="130"/>
      <c r="AK96" s="124"/>
      <c r="AL96" s="100"/>
      <c r="AM96" s="140"/>
      <c r="AN96" s="124"/>
      <c r="AO96" s="168"/>
      <c r="AP96" s="124"/>
      <c r="AQ96" s="175"/>
    </row>
  </sheetData>
  <autoFilter ref="A3:AQ96" xr:uid="{00000000-0001-0000-0000-000000000000}"/>
  <mergeCells count="6">
    <mergeCell ref="F2:H2"/>
    <mergeCell ref="O2:T2"/>
    <mergeCell ref="X2:AB2"/>
    <mergeCell ref="U2:W2"/>
    <mergeCell ref="I2:J2"/>
    <mergeCell ref="M2:N2"/>
  </mergeCells>
  <conditionalFormatting sqref="AG3">
    <cfRule type="cellIs" dxfId="11" priority="8" operator="equal">
      <formula>0</formula>
    </cfRule>
  </conditionalFormatting>
  <conditionalFormatting sqref="AJ3:AK3">
    <cfRule type="cellIs" dxfId="10" priority="6" operator="equal">
      <formula>0</formula>
    </cfRule>
  </conditionalFormatting>
  <conditionalFormatting sqref="AN3">
    <cfRule type="cellIs" dxfId="9" priority="4" operator="equal">
      <formula>0</formula>
    </cfRule>
  </conditionalFormatting>
  <conditionalFormatting sqref="AP3:AQ3">
    <cfRule type="cellIs" dxfId="8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W276"/>
  <sheetViews>
    <sheetView tabSelected="1" zoomScale="80" zoomScaleNormal="80" workbookViewId="0">
      <pane xSplit="2" ySplit="4" topLeftCell="AF5" activePane="bottomRight" state="frozenSplit"/>
      <selection pane="topRight" activeCell="C1" sqref="C1"/>
      <selection pane="bottomLeft"/>
      <selection pane="bottomRight" activeCell="AW5" sqref="AW5"/>
    </sheetView>
  </sheetViews>
  <sheetFormatPr defaultColWidth="9.109375" defaultRowHeight="18.75" customHeight="1" x14ac:dyDescent="0.3"/>
  <cols>
    <col min="1" max="1" width="9.109375" style="1"/>
    <col min="2" max="2" width="22" style="1" bestFit="1" customWidth="1"/>
    <col min="3" max="3" width="33" style="1" customWidth="1"/>
    <col min="4" max="4" width="19" style="1" customWidth="1"/>
    <col min="5" max="5" width="44.88671875" style="1" customWidth="1"/>
    <col min="6" max="8" width="18.109375" style="1" customWidth="1"/>
    <col min="9" max="9" width="18.109375" style="184" customWidth="1"/>
    <col min="10" max="30" width="18.109375" style="1" customWidth="1"/>
    <col min="31" max="35" width="11.88671875" style="4" customWidth="1"/>
    <col min="36" max="37" width="11.88671875" style="3" customWidth="1"/>
    <col min="38" max="38" width="11.88671875" style="2" customWidth="1"/>
    <col min="39" max="39" width="16.109375" style="94" customWidth="1"/>
    <col min="40" max="40" width="16.109375" customWidth="1"/>
    <col min="41" max="41" width="16.109375" style="215" customWidth="1"/>
    <col min="42" max="42" width="16.109375" style="94" customWidth="1"/>
    <col min="43" max="44" width="16.109375" style="1" customWidth="1"/>
    <col min="45" max="45" width="17" style="94" customWidth="1"/>
    <col min="46" max="47" width="17" style="1" customWidth="1"/>
    <col min="48" max="48" width="15.109375" style="222" bestFit="1" customWidth="1"/>
    <col min="49" max="49" width="12.21875" style="1" bestFit="1" customWidth="1"/>
    <col min="50" max="16384" width="9.109375" style="1"/>
  </cols>
  <sheetData>
    <row r="2" spans="1:49" ht="18.75" customHeight="1" x14ac:dyDescent="0.3">
      <c r="F2" s="2" t="s">
        <v>18</v>
      </c>
      <c r="G2" s="2" t="s">
        <v>19</v>
      </c>
      <c r="H2" s="2" t="s">
        <v>717</v>
      </c>
      <c r="I2" s="183" t="s">
        <v>720</v>
      </c>
      <c r="J2" s="2" t="s">
        <v>19</v>
      </c>
      <c r="K2" s="2" t="s">
        <v>717</v>
      </c>
      <c r="L2" s="2" t="s">
        <v>718</v>
      </c>
      <c r="M2" s="2" t="s">
        <v>19</v>
      </c>
      <c r="N2" s="2" t="s">
        <v>18</v>
      </c>
      <c r="O2" s="2" t="s">
        <v>882</v>
      </c>
      <c r="P2" s="2" t="s">
        <v>721</v>
      </c>
      <c r="Q2" s="2" t="s">
        <v>19</v>
      </c>
      <c r="R2" s="2" t="s">
        <v>18</v>
      </c>
      <c r="S2" s="2" t="s">
        <v>717</v>
      </c>
      <c r="T2" s="2" t="s">
        <v>719</v>
      </c>
      <c r="U2" s="2" t="s">
        <v>720</v>
      </c>
      <c r="V2" s="2" t="s">
        <v>721</v>
      </c>
      <c r="W2" s="2" t="s">
        <v>1058</v>
      </c>
      <c r="X2" s="2" t="s">
        <v>1059</v>
      </c>
      <c r="Y2" s="2" t="s">
        <v>19</v>
      </c>
      <c r="Z2" s="2" t="s">
        <v>18</v>
      </c>
      <c r="AA2" s="2" t="s">
        <v>719</v>
      </c>
      <c r="AB2" s="2" t="s">
        <v>19</v>
      </c>
      <c r="AC2" s="2" t="s">
        <v>18</v>
      </c>
      <c r="AD2" s="2" t="s">
        <v>719</v>
      </c>
    </row>
    <row r="3" spans="1:49" ht="18.75" customHeight="1" x14ac:dyDescent="0.3">
      <c r="F3" s="196" t="s">
        <v>17</v>
      </c>
      <c r="G3" s="197"/>
      <c r="H3" s="197"/>
      <c r="I3" s="198"/>
      <c r="J3" s="199" t="s">
        <v>654</v>
      </c>
      <c r="K3" s="200"/>
      <c r="L3" s="201"/>
      <c r="M3" s="208" t="s">
        <v>171</v>
      </c>
      <c r="N3" s="188"/>
      <c r="O3" s="188"/>
      <c r="P3" s="189"/>
      <c r="Q3" s="209" t="s">
        <v>170</v>
      </c>
      <c r="R3" s="210"/>
      <c r="S3" s="210"/>
      <c r="T3" s="210"/>
      <c r="U3" s="210"/>
      <c r="V3" s="210"/>
      <c r="W3" s="210"/>
      <c r="X3" s="211"/>
      <c r="Y3" s="202" t="s">
        <v>655</v>
      </c>
      <c r="Z3" s="203"/>
      <c r="AA3" s="204"/>
      <c r="AB3" s="205" t="s">
        <v>656</v>
      </c>
      <c r="AC3" s="206"/>
      <c r="AD3" s="207"/>
      <c r="AK3" s="3">
        <f>SUBTOTAL(9,AK5:AK114)</f>
        <v>0</v>
      </c>
      <c r="AL3" s="2">
        <f>SUBTOTAL(9,AL5:AL114)</f>
        <v>0</v>
      </c>
      <c r="AM3" s="120">
        <f t="shared" ref="AM3:AT3" si="0">SUBTOTAL(9,AM5:AM137)</f>
        <v>462</v>
      </c>
      <c r="AN3" s="98">
        <f t="shared" si="0"/>
        <v>462</v>
      </c>
      <c r="AO3" s="216"/>
      <c r="AP3" s="120">
        <f t="shared" si="0"/>
        <v>1242</v>
      </c>
      <c r="AQ3" s="98">
        <f t="shared" si="0"/>
        <v>1244</v>
      </c>
      <c r="AR3" s="216"/>
      <c r="AS3" s="120">
        <f t="shared" si="0"/>
        <v>421</v>
      </c>
      <c r="AT3" s="98">
        <f t="shared" si="0"/>
        <v>421</v>
      </c>
      <c r="AU3" s="216"/>
    </row>
    <row r="4" spans="1:49" ht="36.75" customHeight="1" x14ac:dyDescent="0.25">
      <c r="A4" s="8" t="s">
        <v>2</v>
      </c>
      <c r="B4" s="8" t="s">
        <v>3</v>
      </c>
      <c r="C4" s="8" t="s">
        <v>4</v>
      </c>
      <c r="D4" s="9" t="s">
        <v>5</v>
      </c>
      <c r="E4" s="38" t="s">
        <v>8</v>
      </c>
      <c r="F4" s="23" t="s">
        <v>15</v>
      </c>
      <c r="G4" s="23" t="s">
        <v>16</v>
      </c>
      <c r="H4" s="23" t="s">
        <v>1054</v>
      </c>
      <c r="I4" s="23" t="s">
        <v>1055</v>
      </c>
      <c r="J4" s="182" t="s">
        <v>702</v>
      </c>
      <c r="K4" s="107" t="s">
        <v>703</v>
      </c>
      <c r="L4" s="107" t="s">
        <v>704</v>
      </c>
      <c r="M4" s="40" t="s">
        <v>878</v>
      </c>
      <c r="N4" s="40" t="s">
        <v>879</v>
      </c>
      <c r="O4" s="40" t="s">
        <v>880</v>
      </c>
      <c r="P4" s="40" t="s">
        <v>881</v>
      </c>
      <c r="Q4" s="108" t="s">
        <v>705</v>
      </c>
      <c r="R4" s="108" t="s">
        <v>706</v>
      </c>
      <c r="S4" s="108" t="s">
        <v>707</v>
      </c>
      <c r="T4" s="108" t="s">
        <v>708</v>
      </c>
      <c r="U4" s="108" t="s">
        <v>709</v>
      </c>
      <c r="V4" s="108" t="s">
        <v>710</v>
      </c>
      <c r="W4" s="181" t="s">
        <v>1056</v>
      </c>
      <c r="X4" s="181" t="s">
        <v>1057</v>
      </c>
      <c r="Y4" s="112" t="s">
        <v>711</v>
      </c>
      <c r="Z4" s="112" t="s">
        <v>712</v>
      </c>
      <c r="AA4" s="112" t="s">
        <v>713</v>
      </c>
      <c r="AB4" s="110" t="s">
        <v>714</v>
      </c>
      <c r="AC4" s="110" t="s">
        <v>715</v>
      </c>
      <c r="AD4" s="110" t="s">
        <v>716</v>
      </c>
      <c r="AE4" s="42" t="s">
        <v>9</v>
      </c>
      <c r="AF4" s="42" t="s">
        <v>1075</v>
      </c>
      <c r="AG4" s="14" t="s">
        <v>12</v>
      </c>
      <c r="AH4" s="15" t="s">
        <v>13</v>
      </c>
      <c r="AI4" s="14" t="s">
        <v>14</v>
      </c>
      <c r="AJ4" s="10" t="s">
        <v>0</v>
      </c>
      <c r="AK4" s="11" t="s">
        <v>10</v>
      </c>
      <c r="AL4" s="12" t="s">
        <v>11</v>
      </c>
      <c r="AM4" s="121" t="s">
        <v>644</v>
      </c>
      <c r="AN4" s="99" t="s">
        <v>648</v>
      </c>
      <c r="AO4" s="217" t="s">
        <v>1098</v>
      </c>
      <c r="AP4" s="121" t="s">
        <v>823</v>
      </c>
      <c r="AQ4" s="142" t="s">
        <v>837</v>
      </c>
      <c r="AR4" s="217" t="s">
        <v>1099</v>
      </c>
      <c r="AS4" s="121" t="s">
        <v>909</v>
      </c>
      <c r="AT4" s="166" t="s">
        <v>1038</v>
      </c>
      <c r="AU4" s="217" t="s">
        <v>1100</v>
      </c>
      <c r="AV4" s="223" t="s">
        <v>1096</v>
      </c>
      <c r="AW4" s="214" t="s">
        <v>1097</v>
      </c>
    </row>
    <row r="5" spans="1:49" ht="18.75" customHeight="1" x14ac:dyDescent="0.3">
      <c r="A5" s="29">
        <v>1</v>
      </c>
      <c r="B5" s="24" t="s">
        <v>23</v>
      </c>
      <c r="C5" s="18" t="s">
        <v>629</v>
      </c>
      <c r="D5" s="19" t="s">
        <v>60</v>
      </c>
      <c r="E5" s="20" t="s">
        <v>631</v>
      </c>
      <c r="F5" s="6">
        <v>1</v>
      </c>
      <c r="G5" s="45"/>
      <c r="H5" s="6"/>
      <c r="I5" s="45"/>
      <c r="J5" s="6"/>
      <c r="K5" s="6"/>
      <c r="L5" s="45"/>
      <c r="M5" s="6"/>
      <c r="N5" s="6">
        <v>1</v>
      </c>
      <c r="O5" s="6"/>
      <c r="P5" s="45"/>
      <c r="Q5" s="6"/>
      <c r="R5" s="6">
        <v>1</v>
      </c>
      <c r="S5" s="6"/>
      <c r="T5" s="6"/>
      <c r="U5" s="6"/>
      <c r="V5" s="6"/>
      <c r="W5" s="6"/>
      <c r="X5" s="6"/>
      <c r="Y5" s="6"/>
      <c r="Z5" s="6">
        <v>1</v>
      </c>
      <c r="AA5" s="45"/>
      <c r="AB5" s="6"/>
      <c r="AC5" s="6">
        <v>1</v>
      </c>
      <c r="AD5" s="6"/>
      <c r="AE5" s="7">
        <v>3.56</v>
      </c>
      <c r="AF5" s="7"/>
      <c r="AG5" s="16">
        <f t="shared" ref="AG5:AG85" si="1">ROUND((AE5*1.2*1.5+4)*10,0)/10</f>
        <v>10.4</v>
      </c>
      <c r="AH5" s="17">
        <f t="shared" ref="AH5:AH85" si="2">ROUND((AE5*1.2*1.5+10)*10,0)/10</f>
        <v>16.399999999999999</v>
      </c>
      <c r="AI5" s="16">
        <f t="shared" ref="AI5:AI85" si="3">ROUND(AH5/0.7*1.22,0)</f>
        <v>29</v>
      </c>
      <c r="AJ5" s="5" t="s">
        <v>134</v>
      </c>
      <c r="AK5" s="13"/>
      <c r="AL5" s="95"/>
      <c r="AM5" s="131">
        <v>3</v>
      </c>
      <c r="AN5" s="104">
        <v>3</v>
      </c>
      <c r="AO5" s="218">
        <v>0</v>
      </c>
      <c r="AP5" s="159">
        <v>3</v>
      </c>
      <c r="AQ5" s="145">
        <v>3</v>
      </c>
      <c r="AR5" s="219">
        <v>0</v>
      </c>
      <c r="AS5" s="131">
        <v>3</v>
      </c>
      <c r="AT5" s="165">
        <v>3</v>
      </c>
      <c r="AU5" s="220">
        <v>0</v>
      </c>
      <c r="AV5" s="221">
        <f>AU5+AR5+AO5</f>
        <v>0</v>
      </c>
    </row>
    <row r="6" spans="1:49" ht="18.75" customHeight="1" x14ac:dyDescent="0.3">
      <c r="A6" s="29">
        <v>1</v>
      </c>
      <c r="B6" s="24" t="s">
        <v>627</v>
      </c>
      <c r="C6" s="18" t="s">
        <v>628</v>
      </c>
      <c r="D6" s="19" t="s">
        <v>60</v>
      </c>
      <c r="E6" s="20" t="s">
        <v>630</v>
      </c>
      <c r="F6" s="6">
        <v>1</v>
      </c>
      <c r="G6" s="45"/>
      <c r="H6" s="6"/>
      <c r="I6" s="45"/>
      <c r="J6" s="6"/>
      <c r="K6" s="6"/>
      <c r="L6" s="45"/>
      <c r="M6" s="6"/>
      <c r="N6" s="6">
        <v>1</v>
      </c>
      <c r="O6" s="6"/>
      <c r="P6" s="45"/>
      <c r="Q6" s="6"/>
      <c r="R6" s="6">
        <v>1</v>
      </c>
      <c r="S6" s="6"/>
      <c r="T6" s="6"/>
      <c r="U6" s="6"/>
      <c r="V6" s="6"/>
      <c r="W6" s="6"/>
      <c r="X6" s="6"/>
      <c r="Y6" s="6"/>
      <c r="Z6" s="6">
        <v>1</v>
      </c>
      <c r="AA6" s="45"/>
      <c r="AB6" s="6"/>
      <c r="AC6" s="6">
        <v>1</v>
      </c>
      <c r="AD6" s="6"/>
      <c r="AE6" s="7">
        <v>3.66</v>
      </c>
      <c r="AF6" s="7"/>
      <c r="AG6" s="16">
        <f t="shared" ref="AG6" si="4">ROUND((AE6*1.2*1.5+4)*10,0)/10</f>
        <v>10.6</v>
      </c>
      <c r="AH6" s="17">
        <f t="shared" ref="AH6" si="5">ROUND((AE6*1.2*1.5+10)*10,0)/10</f>
        <v>16.600000000000001</v>
      </c>
      <c r="AI6" s="16">
        <f t="shared" ref="AI6" si="6">ROUND(AH6/0.7*1.22,0)</f>
        <v>29</v>
      </c>
      <c r="AJ6" s="5" t="s">
        <v>134</v>
      </c>
      <c r="AK6" s="13"/>
      <c r="AL6" s="95"/>
      <c r="AM6" s="131">
        <v>3</v>
      </c>
      <c r="AN6" s="104">
        <v>3</v>
      </c>
      <c r="AO6" s="218">
        <v>0</v>
      </c>
      <c r="AP6" s="159">
        <v>3</v>
      </c>
      <c r="AQ6" s="145">
        <v>3</v>
      </c>
      <c r="AR6" s="219">
        <v>0</v>
      </c>
      <c r="AS6" s="131">
        <v>3</v>
      </c>
      <c r="AT6" s="165">
        <v>3</v>
      </c>
      <c r="AU6" s="220">
        <v>0</v>
      </c>
      <c r="AV6" s="222">
        <f t="shared" ref="AV6:AV69" si="7">AU6+AR6+AO6</f>
        <v>0</v>
      </c>
    </row>
    <row r="7" spans="1:49" ht="18.75" customHeight="1" x14ac:dyDescent="0.3">
      <c r="A7" s="29">
        <v>1</v>
      </c>
      <c r="B7" s="125" t="s">
        <v>727</v>
      </c>
      <c r="C7" s="18" t="s">
        <v>59</v>
      </c>
      <c r="D7" s="19" t="s">
        <v>60</v>
      </c>
      <c r="E7" s="20" t="s">
        <v>728</v>
      </c>
      <c r="F7" s="6"/>
      <c r="G7" s="45"/>
      <c r="H7" s="6">
        <v>2</v>
      </c>
      <c r="I7" s="45"/>
      <c r="J7" s="6"/>
      <c r="K7" s="6">
        <v>2</v>
      </c>
      <c r="L7" s="45"/>
      <c r="M7" s="6"/>
      <c r="N7" s="6"/>
      <c r="O7" s="6"/>
      <c r="P7" s="45"/>
      <c r="Q7" s="6"/>
      <c r="R7" s="6"/>
      <c r="S7" s="6">
        <v>2</v>
      </c>
      <c r="T7" s="6"/>
      <c r="U7" s="6"/>
      <c r="V7" s="6"/>
      <c r="W7" s="6"/>
      <c r="X7" s="6"/>
      <c r="Y7" s="6"/>
      <c r="Z7" s="6"/>
      <c r="AA7" s="45"/>
      <c r="AB7" s="6"/>
      <c r="AC7" s="6"/>
      <c r="AD7" s="6"/>
      <c r="AE7" s="7">
        <v>5.57</v>
      </c>
      <c r="AF7" s="7"/>
      <c r="AG7" s="16">
        <f t="shared" ref="AG7" si="8">ROUND((AE7*1.2*1.5+4)*10,0)/10</f>
        <v>14</v>
      </c>
      <c r="AH7" s="17">
        <f t="shared" ref="AH7" si="9">ROUND((AE7*1.2*1.5+10)*10,0)/10</f>
        <v>20</v>
      </c>
      <c r="AI7" s="16">
        <f t="shared" ref="AI7" si="10">ROUND(AH7/0.7*1.22,0)</f>
        <v>35</v>
      </c>
      <c r="AJ7" s="5" t="s">
        <v>134</v>
      </c>
      <c r="AK7" s="13"/>
      <c r="AL7" s="95"/>
      <c r="AM7" s="97"/>
      <c r="AN7" s="104"/>
      <c r="AO7" s="218"/>
      <c r="AP7" s="159">
        <v>6</v>
      </c>
      <c r="AQ7" s="145">
        <v>6</v>
      </c>
      <c r="AR7" s="219">
        <v>0</v>
      </c>
      <c r="AS7" s="97"/>
      <c r="AT7" s="165"/>
      <c r="AU7" s="220"/>
      <c r="AV7" s="222">
        <f t="shared" si="7"/>
        <v>0</v>
      </c>
    </row>
    <row r="8" spans="1:49" ht="18.75" customHeight="1" x14ac:dyDescent="0.3">
      <c r="A8" s="29">
        <v>1</v>
      </c>
      <c r="B8" s="125" t="s">
        <v>739</v>
      </c>
      <c r="C8" s="18" t="s">
        <v>59</v>
      </c>
      <c r="D8" s="19" t="s">
        <v>60</v>
      </c>
      <c r="E8" s="20" t="s">
        <v>630</v>
      </c>
      <c r="F8" s="6"/>
      <c r="G8" s="45"/>
      <c r="H8" s="6"/>
      <c r="I8" s="45"/>
      <c r="J8" s="6"/>
      <c r="K8" s="6"/>
      <c r="L8" s="45">
        <v>1</v>
      </c>
      <c r="M8" s="6"/>
      <c r="N8" s="6"/>
      <c r="O8" s="6"/>
      <c r="P8" s="45"/>
      <c r="Q8" s="6"/>
      <c r="R8" s="6"/>
      <c r="S8" s="6"/>
      <c r="T8" s="6"/>
      <c r="U8" s="6"/>
      <c r="V8" s="6"/>
      <c r="W8" s="6"/>
      <c r="X8" s="6"/>
      <c r="Y8" s="6"/>
      <c r="Z8" s="6"/>
      <c r="AA8" s="45"/>
      <c r="AB8" s="6"/>
      <c r="AC8" s="6"/>
      <c r="AD8" s="6"/>
      <c r="AE8" s="7">
        <v>6.9066610883333324</v>
      </c>
      <c r="AF8" s="7"/>
      <c r="AG8" s="16">
        <f t="shared" ref="AG8:AG10" si="11">ROUND((AE8*1.2*1.5+4)*10,0)/10</f>
        <v>16.399999999999999</v>
      </c>
      <c r="AH8" s="17">
        <f t="shared" ref="AH8:AH10" si="12">ROUND((AE8*1.2*1.5+10)*10,0)/10</f>
        <v>22.4</v>
      </c>
      <c r="AI8" s="16">
        <f t="shared" ref="AI8:AI10" si="13">ROUND(AH8/0.7*1.22,0)</f>
        <v>39</v>
      </c>
      <c r="AJ8" s="5" t="s">
        <v>134</v>
      </c>
      <c r="AK8" s="13"/>
      <c r="AL8" s="95"/>
      <c r="AM8" s="97"/>
      <c r="AN8" s="104"/>
      <c r="AO8" s="218"/>
      <c r="AP8" s="159">
        <v>2</v>
      </c>
      <c r="AQ8" s="145">
        <v>2</v>
      </c>
      <c r="AR8" s="219">
        <v>0</v>
      </c>
      <c r="AS8" s="97"/>
      <c r="AT8" s="165"/>
      <c r="AU8" s="220"/>
      <c r="AV8" s="222">
        <f t="shared" si="7"/>
        <v>0</v>
      </c>
    </row>
    <row r="9" spans="1:49" ht="18.75" customHeight="1" x14ac:dyDescent="0.3">
      <c r="A9" s="29">
        <v>2</v>
      </c>
      <c r="B9" s="125" t="s">
        <v>740</v>
      </c>
      <c r="C9" s="18" t="s">
        <v>59</v>
      </c>
      <c r="D9" s="19" t="s">
        <v>60</v>
      </c>
      <c r="E9" s="20" t="s">
        <v>742</v>
      </c>
      <c r="F9" s="6"/>
      <c r="G9" s="45"/>
      <c r="H9" s="6"/>
      <c r="I9" s="45"/>
      <c r="J9" s="6"/>
      <c r="K9" s="6"/>
      <c r="L9" s="45">
        <v>1</v>
      </c>
      <c r="M9" s="6"/>
      <c r="N9" s="6"/>
      <c r="O9" s="6"/>
      <c r="P9" s="45"/>
      <c r="Q9" s="6"/>
      <c r="R9" s="6"/>
      <c r="S9" s="6"/>
      <c r="T9" s="6"/>
      <c r="U9" s="6"/>
      <c r="V9" s="6"/>
      <c r="W9" s="6"/>
      <c r="X9" s="6"/>
      <c r="Y9" s="6"/>
      <c r="Z9" s="6"/>
      <c r="AA9" s="45"/>
      <c r="AB9" s="6"/>
      <c r="AC9" s="6"/>
      <c r="AD9" s="6"/>
      <c r="AE9" s="7">
        <v>5.117030231666666</v>
      </c>
      <c r="AF9" s="7"/>
      <c r="AG9" s="16">
        <f t="shared" si="11"/>
        <v>13.2</v>
      </c>
      <c r="AH9" s="17">
        <f t="shared" si="12"/>
        <v>19.2</v>
      </c>
      <c r="AI9" s="16">
        <f t="shared" si="13"/>
        <v>33</v>
      </c>
      <c r="AJ9" s="5" t="s">
        <v>134</v>
      </c>
      <c r="AK9" s="13"/>
      <c r="AL9" s="95"/>
      <c r="AM9" s="97"/>
      <c r="AN9" s="104"/>
      <c r="AO9" s="218"/>
      <c r="AP9" s="159">
        <v>2</v>
      </c>
      <c r="AQ9" s="145">
        <v>2</v>
      </c>
      <c r="AR9" s="219">
        <v>0</v>
      </c>
      <c r="AS9" s="97"/>
      <c r="AT9" s="165"/>
      <c r="AU9" s="220"/>
      <c r="AV9" s="222">
        <f t="shared" si="7"/>
        <v>0</v>
      </c>
    </row>
    <row r="10" spans="1:49" ht="18.75" customHeight="1" x14ac:dyDescent="0.3">
      <c r="A10" s="29">
        <v>3</v>
      </c>
      <c r="B10" s="125" t="s">
        <v>741</v>
      </c>
      <c r="C10" s="18" t="s">
        <v>59</v>
      </c>
      <c r="D10" s="19" t="s">
        <v>60</v>
      </c>
      <c r="E10" s="20" t="s">
        <v>631</v>
      </c>
      <c r="F10" s="6"/>
      <c r="G10" s="45"/>
      <c r="H10" s="6"/>
      <c r="I10" s="45"/>
      <c r="J10" s="6"/>
      <c r="K10" s="6"/>
      <c r="L10" s="45">
        <v>1</v>
      </c>
      <c r="M10" s="6"/>
      <c r="N10" s="6"/>
      <c r="O10" s="6"/>
      <c r="P10" s="45"/>
      <c r="Q10" s="6"/>
      <c r="R10" s="6"/>
      <c r="S10" s="6"/>
      <c r="T10" s="6"/>
      <c r="U10" s="6"/>
      <c r="V10" s="6"/>
      <c r="W10" s="6"/>
      <c r="X10" s="6"/>
      <c r="Y10" s="6"/>
      <c r="Z10" s="6"/>
      <c r="AA10" s="45"/>
      <c r="AB10" s="6"/>
      <c r="AC10" s="6"/>
      <c r="AD10" s="6"/>
      <c r="AE10" s="7">
        <v>6.874767275</v>
      </c>
      <c r="AF10" s="7"/>
      <c r="AG10" s="16">
        <f t="shared" si="11"/>
        <v>16.399999999999999</v>
      </c>
      <c r="AH10" s="17">
        <f t="shared" si="12"/>
        <v>22.4</v>
      </c>
      <c r="AI10" s="16">
        <f t="shared" si="13"/>
        <v>39</v>
      </c>
      <c r="AJ10" s="5" t="s">
        <v>134</v>
      </c>
      <c r="AK10" s="13"/>
      <c r="AL10" s="95"/>
      <c r="AM10" s="97"/>
      <c r="AN10" s="104"/>
      <c r="AO10" s="218"/>
      <c r="AP10" s="159">
        <v>2</v>
      </c>
      <c r="AQ10" s="145">
        <v>2</v>
      </c>
      <c r="AR10" s="219">
        <v>0</v>
      </c>
      <c r="AS10" s="97"/>
      <c r="AT10" s="165"/>
      <c r="AU10" s="220"/>
      <c r="AV10" s="222">
        <f t="shared" si="7"/>
        <v>0</v>
      </c>
    </row>
    <row r="11" spans="1:49" ht="18.75" customHeight="1" x14ac:dyDescent="0.3">
      <c r="A11" s="29">
        <v>1</v>
      </c>
      <c r="B11" s="125" t="s">
        <v>772</v>
      </c>
      <c r="C11" s="18" t="s">
        <v>59</v>
      </c>
      <c r="D11" s="19" t="s">
        <v>60</v>
      </c>
      <c r="E11" s="20" t="s">
        <v>630</v>
      </c>
      <c r="F11" s="6"/>
      <c r="G11" s="45"/>
      <c r="H11" s="6"/>
      <c r="I11" s="45"/>
      <c r="J11" s="6"/>
      <c r="K11" s="6"/>
      <c r="L11" s="45"/>
      <c r="M11" s="6"/>
      <c r="N11" s="6"/>
      <c r="O11" s="6"/>
      <c r="P11" s="45"/>
      <c r="Q11" s="6"/>
      <c r="R11" s="6"/>
      <c r="S11" s="6"/>
      <c r="T11" s="6">
        <v>1</v>
      </c>
      <c r="U11" s="6"/>
      <c r="V11" s="6"/>
      <c r="W11" s="6"/>
      <c r="X11" s="6"/>
      <c r="Y11" s="6"/>
      <c r="Z11" s="6"/>
      <c r="AA11" s="45">
        <v>1</v>
      </c>
      <c r="AB11" s="6"/>
      <c r="AC11" s="6"/>
      <c r="AD11" s="6">
        <v>1</v>
      </c>
      <c r="AE11" s="7">
        <v>5.5724183266666678</v>
      </c>
      <c r="AF11" s="7"/>
      <c r="AG11" s="16">
        <f t="shared" ref="AG11:AG13" si="14">ROUND((AE11*1.2*1.5+4)*10,0)/10</f>
        <v>14</v>
      </c>
      <c r="AH11" s="17">
        <f t="shared" ref="AH11:AH13" si="15">ROUND((AE11*1.2*1.5+10)*10,0)/10</f>
        <v>20</v>
      </c>
      <c r="AI11" s="16">
        <f t="shared" ref="AI11:AI13" si="16">ROUND(AH11/0.7*1.22,0)</f>
        <v>35</v>
      </c>
      <c r="AJ11" s="5" t="s">
        <v>134</v>
      </c>
      <c r="AK11" s="13"/>
      <c r="AL11" s="95"/>
      <c r="AM11" s="97"/>
      <c r="AN11" s="104"/>
      <c r="AO11" s="218"/>
      <c r="AP11" s="159">
        <v>4</v>
      </c>
      <c r="AQ11" s="145">
        <v>4</v>
      </c>
      <c r="AR11" s="219">
        <v>0</v>
      </c>
      <c r="AS11" s="97"/>
      <c r="AT11" s="165"/>
      <c r="AU11" s="220"/>
      <c r="AV11" s="222">
        <f t="shared" si="7"/>
        <v>0</v>
      </c>
    </row>
    <row r="12" spans="1:49" ht="18.75" customHeight="1" x14ac:dyDescent="0.3">
      <c r="A12" s="29">
        <v>2</v>
      </c>
      <c r="B12" s="125" t="s">
        <v>773</v>
      </c>
      <c r="C12" s="18" t="s">
        <v>59</v>
      </c>
      <c r="D12" s="19" t="s">
        <v>60</v>
      </c>
      <c r="E12" s="20" t="s">
        <v>742</v>
      </c>
      <c r="F12" s="6"/>
      <c r="G12" s="45"/>
      <c r="H12" s="6"/>
      <c r="I12" s="45"/>
      <c r="J12" s="6"/>
      <c r="K12" s="6"/>
      <c r="L12" s="45"/>
      <c r="M12" s="6"/>
      <c r="N12" s="6"/>
      <c r="O12" s="6"/>
      <c r="P12" s="45"/>
      <c r="Q12" s="6"/>
      <c r="R12" s="6"/>
      <c r="S12" s="6"/>
      <c r="T12" s="6">
        <v>1</v>
      </c>
      <c r="U12" s="6"/>
      <c r="V12" s="6"/>
      <c r="W12" s="6"/>
      <c r="X12" s="6"/>
      <c r="Y12" s="6"/>
      <c r="Z12" s="6"/>
      <c r="AA12" s="45">
        <v>1</v>
      </c>
      <c r="AB12" s="6"/>
      <c r="AC12" s="6"/>
      <c r="AD12" s="6">
        <v>1</v>
      </c>
      <c r="AE12" s="7">
        <v>5.5537394066666668</v>
      </c>
      <c r="AF12" s="7"/>
      <c r="AG12" s="16">
        <f t="shared" si="14"/>
        <v>14</v>
      </c>
      <c r="AH12" s="17">
        <f t="shared" si="15"/>
        <v>20</v>
      </c>
      <c r="AI12" s="16">
        <f t="shared" si="16"/>
        <v>35</v>
      </c>
      <c r="AJ12" s="5" t="s">
        <v>134</v>
      </c>
      <c r="AK12" s="13"/>
      <c r="AL12" s="95"/>
      <c r="AM12" s="97"/>
      <c r="AN12" s="104"/>
      <c r="AO12" s="218"/>
      <c r="AP12" s="159">
        <v>4</v>
      </c>
      <c r="AQ12" s="145">
        <v>4</v>
      </c>
      <c r="AR12" s="219">
        <v>0</v>
      </c>
      <c r="AS12" s="97"/>
      <c r="AT12" s="165"/>
      <c r="AU12" s="220"/>
      <c r="AV12" s="222">
        <f t="shared" si="7"/>
        <v>0</v>
      </c>
    </row>
    <row r="13" spans="1:49" ht="18.75" customHeight="1" x14ac:dyDescent="0.3">
      <c r="A13" s="29">
        <v>3</v>
      </c>
      <c r="B13" s="125" t="s">
        <v>774</v>
      </c>
      <c r="C13" s="18" t="s">
        <v>59</v>
      </c>
      <c r="D13" s="19" t="s">
        <v>60</v>
      </c>
      <c r="E13" s="20" t="s">
        <v>631</v>
      </c>
      <c r="F13" s="6"/>
      <c r="G13" s="45"/>
      <c r="H13" s="6"/>
      <c r="I13" s="45"/>
      <c r="J13" s="6"/>
      <c r="K13" s="6"/>
      <c r="L13" s="45"/>
      <c r="M13" s="6"/>
      <c r="N13" s="6"/>
      <c r="O13" s="6"/>
      <c r="P13" s="45"/>
      <c r="Q13" s="6"/>
      <c r="R13" s="6"/>
      <c r="S13" s="6"/>
      <c r="T13" s="6">
        <v>1</v>
      </c>
      <c r="U13" s="6"/>
      <c r="V13" s="6"/>
      <c r="W13" s="6"/>
      <c r="X13" s="6"/>
      <c r="Y13" s="6"/>
      <c r="Z13" s="6"/>
      <c r="AA13" s="45">
        <v>1</v>
      </c>
      <c r="AB13" s="6"/>
      <c r="AC13" s="6"/>
      <c r="AD13" s="6">
        <v>1</v>
      </c>
      <c r="AE13" s="7">
        <v>5.5759326799999993</v>
      </c>
      <c r="AF13" s="7"/>
      <c r="AG13" s="16">
        <f t="shared" si="14"/>
        <v>14</v>
      </c>
      <c r="AH13" s="17">
        <f t="shared" si="15"/>
        <v>20</v>
      </c>
      <c r="AI13" s="16">
        <f t="shared" si="16"/>
        <v>35</v>
      </c>
      <c r="AJ13" s="5" t="s">
        <v>134</v>
      </c>
      <c r="AK13" s="13"/>
      <c r="AL13" s="95"/>
      <c r="AM13" s="97"/>
      <c r="AN13" s="104"/>
      <c r="AO13" s="218"/>
      <c r="AP13" s="159">
        <v>4</v>
      </c>
      <c r="AQ13" s="145">
        <v>4</v>
      </c>
      <c r="AR13" s="219">
        <v>0</v>
      </c>
      <c r="AS13" s="97"/>
      <c r="AT13" s="165"/>
      <c r="AU13" s="220"/>
      <c r="AV13" s="222">
        <f t="shared" si="7"/>
        <v>0</v>
      </c>
    </row>
    <row r="14" spans="1:49" ht="18.75" customHeight="1" x14ac:dyDescent="0.3">
      <c r="A14" s="29">
        <v>1</v>
      </c>
      <c r="B14" s="125" t="s">
        <v>782</v>
      </c>
      <c r="C14" s="18" t="s">
        <v>59</v>
      </c>
      <c r="D14" s="19" t="s">
        <v>60</v>
      </c>
      <c r="E14" s="20" t="s">
        <v>630</v>
      </c>
      <c r="F14" s="6"/>
      <c r="G14" s="45"/>
      <c r="H14" s="6"/>
      <c r="I14" s="45">
        <v>1</v>
      </c>
      <c r="J14" s="6"/>
      <c r="K14" s="6"/>
      <c r="L14" s="45"/>
      <c r="M14" s="6"/>
      <c r="N14" s="6"/>
      <c r="O14" s="6"/>
      <c r="P14" s="45"/>
      <c r="Q14" s="6"/>
      <c r="R14" s="6"/>
      <c r="S14" s="6"/>
      <c r="T14" s="6"/>
      <c r="U14" s="6">
        <v>1</v>
      </c>
      <c r="V14" s="6"/>
      <c r="W14" s="6"/>
      <c r="X14" s="6"/>
      <c r="Y14" s="6"/>
      <c r="Z14" s="6"/>
      <c r="AA14" s="45"/>
      <c r="AB14" s="6"/>
      <c r="AC14" s="6"/>
      <c r="AD14" s="6"/>
      <c r="AE14" s="7">
        <v>5.9625368766666673</v>
      </c>
      <c r="AF14" s="7"/>
      <c r="AG14" s="16">
        <f t="shared" ref="AG14:AG16" si="17">ROUND((AE14*1.2*1.5+4)*10,0)/10</f>
        <v>14.7</v>
      </c>
      <c r="AH14" s="17">
        <f t="shared" ref="AH14:AH16" si="18">ROUND((AE14*1.2*1.5+10)*10,0)/10</f>
        <v>20.7</v>
      </c>
      <c r="AI14" s="16">
        <f t="shared" ref="AI14:AI16" si="19">ROUND(AH14/0.7*1.22,0)</f>
        <v>36</v>
      </c>
      <c r="AJ14" s="5" t="s">
        <v>134</v>
      </c>
      <c r="AK14" s="13"/>
      <c r="AL14" s="95"/>
      <c r="AM14" s="97"/>
      <c r="AN14" s="104"/>
      <c r="AO14" s="218"/>
      <c r="AP14" s="176">
        <v>2</v>
      </c>
      <c r="AQ14" s="145">
        <v>2</v>
      </c>
      <c r="AR14" s="219">
        <v>0</v>
      </c>
      <c r="AS14" s="97"/>
      <c r="AT14" s="165"/>
      <c r="AU14" s="220"/>
      <c r="AV14" s="222">
        <f t="shared" si="7"/>
        <v>0</v>
      </c>
    </row>
    <row r="15" spans="1:49" ht="18.75" customHeight="1" x14ac:dyDescent="0.3">
      <c r="A15" s="29">
        <v>2</v>
      </c>
      <c r="B15" s="125" t="s">
        <v>783</v>
      </c>
      <c r="C15" s="18" t="s">
        <v>59</v>
      </c>
      <c r="D15" s="19" t="s">
        <v>60</v>
      </c>
      <c r="E15" s="20" t="s">
        <v>742</v>
      </c>
      <c r="F15" s="6"/>
      <c r="G15" s="45"/>
      <c r="H15" s="6"/>
      <c r="I15" s="45">
        <v>1</v>
      </c>
      <c r="J15" s="6"/>
      <c r="K15" s="6"/>
      <c r="L15" s="45"/>
      <c r="M15" s="6"/>
      <c r="N15" s="6"/>
      <c r="O15" s="6"/>
      <c r="P15" s="45"/>
      <c r="Q15" s="6"/>
      <c r="R15" s="6"/>
      <c r="S15" s="6"/>
      <c r="T15" s="6"/>
      <c r="U15" s="6">
        <v>1</v>
      </c>
      <c r="V15" s="6"/>
      <c r="W15" s="6"/>
      <c r="X15" s="6"/>
      <c r="Y15" s="6"/>
      <c r="Z15" s="6"/>
      <c r="AA15" s="45"/>
      <c r="AB15" s="6"/>
      <c r="AC15" s="6"/>
      <c r="AD15" s="6"/>
      <c r="AE15" s="7">
        <v>4.7690265466666668</v>
      </c>
      <c r="AF15" s="7"/>
      <c r="AG15" s="16">
        <f t="shared" si="17"/>
        <v>12.6</v>
      </c>
      <c r="AH15" s="17">
        <f t="shared" si="18"/>
        <v>18.600000000000001</v>
      </c>
      <c r="AI15" s="16">
        <f t="shared" si="19"/>
        <v>32</v>
      </c>
      <c r="AJ15" s="5" t="s">
        <v>134</v>
      </c>
      <c r="AK15" s="13"/>
      <c r="AL15" s="95"/>
      <c r="AM15" s="97"/>
      <c r="AN15" s="104"/>
      <c r="AO15" s="218"/>
      <c r="AP15" s="177" t="s">
        <v>1049</v>
      </c>
      <c r="AQ15" s="145">
        <v>2</v>
      </c>
      <c r="AR15" s="219">
        <v>0</v>
      </c>
      <c r="AS15" s="97"/>
      <c r="AT15" s="165"/>
      <c r="AU15" s="220"/>
      <c r="AV15" s="222">
        <f t="shared" si="7"/>
        <v>0</v>
      </c>
    </row>
    <row r="16" spans="1:49" ht="18.75" customHeight="1" x14ac:dyDescent="0.3">
      <c r="A16" s="29">
        <v>3</v>
      </c>
      <c r="B16" s="125" t="s">
        <v>784</v>
      </c>
      <c r="C16" s="18" t="s">
        <v>59</v>
      </c>
      <c r="D16" s="19" t="s">
        <v>60</v>
      </c>
      <c r="E16" s="20" t="s">
        <v>631</v>
      </c>
      <c r="F16" s="6"/>
      <c r="G16" s="45"/>
      <c r="H16" s="6"/>
      <c r="I16" s="45">
        <v>1</v>
      </c>
      <c r="J16" s="6"/>
      <c r="K16" s="6"/>
      <c r="L16" s="45"/>
      <c r="M16" s="6"/>
      <c r="N16" s="6"/>
      <c r="O16" s="6"/>
      <c r="P16" s="45"/>
      <c r="Q16" s="6"/>
      <c r="R16" s="6"/>
      <c r="S16" s="6"/>
      <c r="T16" s="6"/>
      <c r="U16" s="6">
        <v>1</v>
      </c>
      <c r="V16" s="6"/>
      <c r="W16" s="6"/>
      <c r="X16" s="6">
        <v>1</v>
      </c>
      <c r="Y16" s="6"/>
      <c r="Z16" s="6"/>
      <c r="AA16" s="45"/>
      <c r="AB16" s="6"/>
      <c r="AC16" s="6"/>
      <c r="AD16" s="6"/>
      <c r="AE16" s="7">
        <v>5.5011799400000001</v>
      </c>
      <c r="AF16" s="180">
        <v>2.028</v>
      </c>
      <c r="AG16" s="16">
        <f t="shared" si="17"/>
        <v>13.9</v>
      </c>
      <c r="AH16" s="17">
        <f t="shared" si="18"/>
        <v>19.899999999999999</v>
      </c>
      <c r="AI16" s="16">
        <f t="shared" si="19"/>
        <v>35</v>
      </c>
      <c r="AJ16" s="5" t="s">
        <v>134</v>
      </c>
      <c r="AK16" s="13"/>
      <c r="AL16" s="95"/>
      <c r="AM16" s="97"/>
      <c r="AN16" s="104"/>
      <c r="AO16" s="218"/>
      <c r="AP16" s="176">
        <v>2</v>
      </c>
      <c r="AQ16" s="145">
        <v>2</v>
      </c>
      <c r="AR16" s="219">
        <v>0</v>
      </c>
      <c r="AS16" s="97"/>
      <c r="AT16" s="165"/>
      <c r="AU16" s="220"/>
      <c r="AV16" s="222">
        <f t="shared" si="7"/>
        <v>0</v>
      </c>
    </row>
    <row r="17" spans="1:48" ht="18.75" customHeight="1" x14ac:dyDescent="0.3">
      <c r="A17" s="29">
        <v>1</v>
      </c>
      <c r="B17" s="125" t="s">
        <v>785</v>
      </c>
      <c r="C17" s="18" t="s">
        <v>59</v>
      </c>
      <c r="D17" s="19" t="s">
        <v>60</v>
      </c>
      <c r="E17" s="20" t="s">
        <v>630</v>
      </c>
      <c r="F17" s="6"/>
      <c r="G17" s="45"/>
      <c r="H17" s="6"/>
      <c r="I17" s="45"/>
      <c r="J17" s="6"/>
      <c r="K17" s="6"/>
      <c r="L17" s="45"/>
      <c r="M17" s="6"/>
      <c r="N17" s="6"/>
      <c r="O17" s="6"/>
      <c r="P17" s="45">
        <v>1</v>
      </c>
      <c r="Q17" s="6"/>
      <c r="R17" s="6"/>
      <c r="S17" s="6"/>
      <c r="T17" s="6"/>
      <c r="U17" s="6"/>
      <c r="V17" s="6">
        <v>1</v>
      </c>
      <c r="W17" s="6"/>
      <c r="X17" s="6"/>
      <c r="Y17" s="6"/>
      <c r="Z17" s="6"/>
      <c r="AA17" s="45"/>
      <c r="AB17" s="6"/>
      <c r="AC17" s="6"/>
      <c r="AD17" s="6"/>
      <c r="AE17" s="7">
        <v>5.59</v>
      </c>
      <c r="AF17" s="7"/>
      <c r="AG17" s="16">
        <f t="shared" ref="AG17:AG19" si="20">ROUND((AE17*1.2*1.5+4)*10,0)/10</f>
        <v>14.1</v>
      </c>
      <c r="AH17" s="17">
        <f t="shared" ref="AH17:AH19" si="21">ROUND((AE17*1.2*1.5+10)*10,0)/10</f>
        <v>20.100000000000001</v>
      </c>
      <c r="AI17" s="16">
        <f t="shared" ref="AI17:AI19" si="22">ROUND(AH17/0.7*1.22,0)</f>
        <v>35</v>
      </c>
      <c r="AJ17" s="5" t="s">
        <v>134</v>
      </c>
      <c r="AK17" s="13"/>
      <c r="AL17" s="95"/>
      <c r="AM17" s="97"/>
      <c r="AN17" s="104"/>
      <c r="AO17" s="218"/>
      <c r="AP17" s="159">
        <v>2</v>
      </c>
      <c r="AQ17" s="145">
        <v>2</v>
      </c>
      <c r="AR17" s="219">
        <v>0</v>
      </c>
      <c r="AS17" s="131">
        <v>1</v>
      </c>
      <c r="AT17" s="165">
        <v>1</v>
      </c>
      <c r="AU17" s="220">
        <v>0</v>
      </c>
      <c r="AV17" s="222">
        <f t="shared" si="7"/>
        <v>0</v>
      </c>
    </row>
    <row r="18" spans="1:48" ht="18.75" customHeight="1" x14ac:dyDescent="0.3">
      <c r="A18" s="29">
        <v>2</v>
      </c>
      <c r="B18" s="125" t="s">
        <v>786</v>
      </c>
      <c r="C18" s="18" t="s">
        <v>59</v>
      </c>
      <c r="D18" s="19" t="s">
        <v>60</v>
      </c>
      <c r="E18" s="20" t="s">
        <v>742</v>
      </c>
      <c r="F18" s="6"/>
      <c r="G18" s="45"/>
      <c r="H18" s="6"/>
      <c r="I18" s="45"/>
      <c r="J18" s="6"/>
      <c r="K18" s="6"/>
      <c r="L18" s="45"/>
      <c r="M18" s="6"/>
      <c r="N18" s="6"/>
      <c r="O18" s="6"/>
      <c r="P18" s="45">
        <v>1</v>
      </c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45"/>
      <c r="AB18" s="6"/>
      <c r="AC18" s="6"/>
      <c r="AD18" s="6"/>
      <c r="AE18" s="7">
        <v>5.69</v>
      </c>
      <c r="AF18" s="7"/>
      <c r="AG18" s="16">
        <f t="shared" si="20"/>
        <v>14.2</v>
      </c>
      <c r="AH18" s="17">
        <f t="shared" si="21"/>
        <v>20.2</v>
      </c>
      <c r="AI18" s="16">
        <f t="shared" si="22"/>
        <v>35</v>
      </c>
      <c r="AJ18" s="5" t="s">
        <v>134</v>
      </c>
      <c r="AK18" s="13"/>
      <c r="AL18" s="95"/>
      <c r="AM18" s="97"/>
      <c r="AN18" s="104"/>
      <c r="AO18" s="218"/>
      <c r="AP18" s="159">
        <v>2</v>
      </c>
      <c r="AQ18" s="145">
        <v>2</v>
      </c>
      <c r="AR18" s="219">
        <v>0</v>
      </c>
      <c r="AS18" s="131">
        <v>1</v>
      </c>
      <c r="AT18" s="165">
        <v>1</v>
      </c>
      <c r="AU18" s="220">
        <v>0</v>
      </c>
      <c r="AV18" s="222">
        <f t="shared" si="7"/>
        <v>0</v>
      </c>
    </row>
    <row r="19" spans="1:48" ht="18.75" customHeight="1" x14ac:dyDescent="0.3">
      <c r="A19" s="29">
        <v>3</v>
      </c>
      <c r="B19" s="125" t="s">
        <v>787</v>
      </c>
      <c r="C19" s="18" t="s">
        <v>59</v>
      </c>
      <c r="D19" s="19" t="s">
        <v>60</v>
      </c>
      <c r="E19" s="20" t="s">
        <v>631</v>
      </c>
      <c r="F19" s="6"/>
      <c r="G19" s="45"/>
      <c r="H19" s="6"/>
      <c r="I19" s="45"/>
      <c r="J19" s="6"/>
      <c r="K19" s="6"/>
      <c r="L19" s="45"/>
      <c r="M19" s="6"/>
      <c r="N19" s="6"/>
      <c r="O19" s="6"/>
      <c r="P19" s="45">
        <v>1</v>
      </c>
      <c r="Q19" s="6"/>
      <c r="R19" s="6"/>
      <c r="S19" s="6"/>
      <c r="T19" s="6"/>
      <c r="U19" s="6"/>
      <c r="V19" s="6">
        <v>1</v>
      </c>
      <c r="W19" s="6"/>
      <c r="X19" s="6"/>
      <c r="Y19" s="6"/>
      <c r="Z19" s="6"/>
      <c r="AA19" s="45"/>
      <c r="AB19" s="6"/>
      <c r="AC19" s="6"/>
      <c r="AD19" s="6"/>
      <c r="AE19" s="7">
        <v>5.59</v>
      </c>
      <c r="AF19" s="7"/>
      <c r="AG19" s="16">
        <f t="shared" si="20"/>
        <v>14.1</v>
      </c>
      <c r="AH19" s="17">
        <f t="shared" si="21"/>
        <v>20.100000000000001</v>
      </c>
      <c r="AI19" s="16">
        <f t="shared" si="22"/>
        <v>35</v>
      </c>
      <c r="AJ19" s="5" t="s">
        <v>134</v>
      </c>
      <c r="AK19" s="13"/>
      <c r="AL19" s="95"/>
      <c r="AM19" s="97"/>
      <c r="AN19" s="104"/>
      <c r="AO19" s="218"/>
      <c r="AP19" s="159">
        <v>2</v>
      </c>
      <c r="AQ19" s="145">
        <v>2</v>
      </c>
      <c r="AR19" s="219">
        <v>0</v>
      </c>
      <c r="AS19" s="131">
        <v>1</v>
      </c>
      <c r="AT19" s="165">
        <v>1</v>
      </c>
      <c r="AU19" s="220">
        <v>0</v>
      </c>
      <c r="AV19" s="222">
        <f t="shared" si="7"/>
        <v>0</v>
      </c>
    </row>
    <row r="20" spans="1:48" ht="18.75" customHeight="1" x14ac:dyDescent="0.3">
      <c r="A20" s="147" t="s">
        <v>887</v>
      </c>
      <c r="B20" s="149" t="s">
        <v>890</v>
      </c>
      <c r="C20" s="18" t="s">
        <v>59</v>
      </c>
      <c r="D20" s="19" t="s">
        <v>60</v>
      </c>
      <c r="E20" s="20" t="s">
        <v>630</v>
      </c>
      <c r="F20" s="6"/>
      <c r="G20" s="45"/>
      <c r="H20" s="6"/>
      <c r="I20" s="45"/>
      <c r="J20" s="6"/>
      <c r="K20" s="6"/>
      <c r="L20" s="45"/>
      <c r="M20" s="6"/>
      <c r="N20" s="6"/>
      <c r="O20" s="6">
        <v>1</v>
      </c>
      <c r="P20" s="45"/>
      <c r="Q20" s="6"/>
      <c r="R20" s="6"/>
      <c r="S20" s="6"/>
      <c r="T20" s="6"/>
      <c r="U20" s="6"/>
      <c r="V20" s="6"/>
      <c r="W20" s="6"/>
      <c r="X20" s="6"/>
      <c r="Y20" s="6"/>
      <c r="Z20" s="6"/>
      <c r="AA20" s="45"/>
      <c r="AB20" s="6"/>
      <c r="AC20" s="6"/>
      <c r="AD20" s="6"/>
      <c r="AE20" s="7">
        <v>3.65</v>
      </c>
      <c r="AF20" s="7"/>
      <c r="AG20" s="16">
        <f t="shared" ref="AG20:AG22" si="23">ROUND((AE20*1.2*1.5+4)*10,0)/10</f>
        <v>10.6</v>
      </c>
      <c r="AH20" s="17">
        <f t="shared" ref="AH20:AH22" si="24">ROUND((AE20*1.2*1.5+10)*10,0)/10</f>
        <v>16.600000000000001</v>
      </c>
      <c r="AI20" s="16">
        <f t="shared" ref="AI20:AI22" si="25">ROUND(AH20/0.7*1.22,0)</f>
        <v>29</v>
      </c>
      <c r="AJ20" s="5" t="s">
        <v>134</v>
      </c>
      <c r="AK20" s="13"/>
      <c r="AL20" s="95"/>
      <c r="AM20" s="97"/>
      <c r="AN20" s="104"/>
      <c r="AO20" s="218"/>
      <c r="AP20" s="144"/>
      <c r="AQ20" s="145"/>
      <c r="AR20" s="219"/>
      <c r="AS20" s="131">
        <v>5</v>
      </c>
      <c r="AT20" s="165">
        <v>5</v>
      </c>
      <c r="AU20" s="220">
        <v>0</v>
      </c>
      <c r="AV20" s="222">
        <f t="shared" si="7"/>
        <v>0</v>
      </c>
    </row>
    <row r="21" spans="1:48" ht="18.75" customHeight="1" x14ac:dyDescent="0.3">
      <c r="A21" s="147" t="s">
        <v>888</v>
      </c>
      <c r="B21" s="149" t="s">
        <v>891</v>
      </c>
      <c r="C21" s="18" t="s">
        <v>59</v>
      </c>
      <c r="D21" s="19" t="s">
        <v>60</v>
      </c>
      <c r="E21" s="20" t="s">
        <v>742</v>
      </c>
      <c r="F21" s="6"/>
      <c r="G21" s="45"/>
      <c r="H21" s="6"/>
      <c r="I21" s="45"/>
      <c r="J21" s="6"/>
      <c r="K21" s="6"/>
      <c r="L21" s="45"/>
      <c r="M21" s="6"/>
      <c r="N21" s="6"/>
      <c r="O21" s="6">
        <v>1</v>
      </c>
      <c r="P21" s="45"/>
      <c r="Q21" s="6"/>
      <c r="R21" s="6"/>
      <c r="S21" s="6"/>
      <c r="T21" s="6"/>
      <c r="U21" s="6"/>
      <c r="V21" s="6"/>
      <c r="W21" s="6"/>
      <c r="X21" s="6"/>
      <c r="Y21" s="6"/>
      <c r="Z21" s="6"/>
      <c r="AA21" s="45"/>
      <c r="AB21" s="6"/>
      <c r="AC21" s="6"/>
      <c r="AD21" s="6"/>
      <c r="AE21" s="7">
        <v>3.76</v>
      </c>
      <c r="AF21" s="7"/>
      <c r="AG21" s="16">
        <f t="shared" si="23"/>
        <v>10.8</v>
      </c>
      <c r="AH21" s="17">
        <f t="shared" si="24"/>
        <v>16.8</v>
      </c>
      <c r="AI21" s="16">
        <f t="shared" si="25"/>
        <v>29</v>
      </c>
      <c r="AJ21" s="5" t="s">
        <v>134</v>
      </c>
      <c r="AK21" s="13"/>
      <c r="AL21" s="95"/>
      <c r="AM21" s="97"/>
      <c r="AN21" s="104"/>
      <c r="AO21" s="218"/>
      <c r="AP21" s="144"/>
      <c r="AQ21" s="145"/>
      <c r="AR21" s="219"/>
      <c r="AS21" s="131">
        <v>5</v>
      </c>
      <c r="AT21" s="165">
        <v>5</v>
      </c>
      <c r="AU21" s="220">
        <v>0</v>
      </c>
      <c r="AV21" s="222">
        <f t="shared" si="7"/>
        <v>0</v>
      </c>
    </row>
    <row r="22" spans="1:48" ht="18.75" customHeight="1" x14ac:dyDescent="0.3">
      <c r="A22" s="147" t="s">
        <v>889</v>
      </c>
      <c r="B22" s="149" t="s">
        <v>892</v>
      </c>
      <c r="C22" s="18" t="s">
        <v>59</v>
      </c>
      <c r="D22" s="19" t="s">
        <v>60</v>
      </c>
      <c r="E22" s="20" t="s">
        <v>631</v>
      </c>
      <c r="F22" s="6"/>
      <c r="G22" s="45"/>
      <c r="H22" s="6"/>
      <c r="I22" s="45"/>
      <c r="J22" s="6"/>
      <c r="K22" s="6"/>
      <c r="L22" s="45"/>
      <c r="M22" s="6"/>
      <c r="N22" s="6"/>
      <c r="O22" s="6">
        <v>1</v>
      </c>
      <c r="P22" s="45"/>
      <c r="Q22" s="6"/>
      <c r="R22" s="6"/>
      <c r="S22" s="6"/>
      <c r="T22" s="6"/>
      <c r="U22" s="6"/>
      <c r="V22" s="6"/>
      <c r="W22" s="6"/>
      <c r="X22" s="6"/>
      <c r="Y22" s="6"/>
      <c r="Z22" s="6"/>
      <c r="AA22" s="45"/>
      <c r="AB22" s="6"/>
      <c r="AC22" s="6"/>
      <c r="AD22" s="6"/>
      <c r="AE22" s="7">
        <v>3.72</v>
      </c>
      <c r="AF22" s="7"/>
      <c r="AG22" s="16">
        <f t="shared" si="23"/>
        <v>10.7</v>
      </c>
      <c r="AH22" s="17">
        <f t="shared" si="24"/>
        <v>16.7</v>
      </c>
      <c r="AI22" s="16">
        <f t="shared" si="25"/>
        <v>29</v>
      </c>
      <c r="AJ22" s="5" t="s">
        <v>134</v>
      </c>
      <c r="AK22" s="13"/>
      <c r="AL22" s="95"/>
      <c r="AM22" s="97"/>
      <c r="AN22" s="104"/>
      <c r="AO22" s="218"/>
      <c r="AP22" s="144"/>
      <c r="AQ22" s="145"/>
      <c r="AR22" s="219"/>
      <c r="AS22" s="131">
        <v>5</v>
      </c>
      <c r="AT22" s="165">
        <v>5</v>
      </c>
      <c r="AU22" s="220">
        <v>0</v>
      </c>
      <c r="AV22" s="222">
        <f t="shared" si="7"/>
        <v>0</v>
      </c>
    </row>
    <row r="23" spans="1:48" ht="18.75" customHeight="1" x14ac:dyDescent="0.3">
      <c r="A23" s="30">
        <v>1</v>
      </c>
      <c r="B23" s="26" t="s">
        <v>143</v>
      </c>
      <c r="C23" s="18" t="s">
        <v>59</v>
      </c>
      <c r="D23" s="19" t="s">
        <v>60</v>
      </c>
      <c r="E23" s="20" t="s">
        <v>833</v>
      </c>
      <c r="F23" s="6"/>
      <c r="G23" s="45">
        <v>1</v>
      </c>
      <c r="H23" s="6"/>
      <c r="I23" s="45"/>
      <c r="J23" s="6">
        <v>1</v>
      </c>
      <c r="K23" s="6"/>
      <c r="L23" s="45"/>
      <c r="M23" s="6">
        <v>1</v>
      </c>
      <c r="N23" s="6"/>
      <c r="O23" s="6"/>
      <c r="P23" s="45"/>
      <c r="Q23" s="6">
        <v>1</v>
      </c>
      <c r="R23" s="6"/>
      <c r="S23" s="6"/>
      <c r="T23" s="6"/>
      <c r="U23" s="6"/>
      <c r="V23" s="6"/>
      <c r="W23" s="6"/>
      <c r="X23" s="6"/>
      <c r="Y23" s="6">
        <v>1</v>
      </c>
      <c r="Z23" s="6"/>
      <c r="AA23" s="45"/>
      <c r="AB23" s="6">
        <v>1</v>
      </c>
      <c r="AC23" s="6"/>
      <c r="AD23" s="6"/>
      <c r="AE23" s="7">
        <v>2.4700000000000002</v>
      </c>
      <c r="AF23" s="7"/>
      <c r="AG23" s="16">
        <f t="shared" si="1"/>
        <v>8.4</v>
      </c>
      <c r="AH23" s="17">
        <f t="shared" si="2"/>
        <v>14.4</v>
      </c>
      <c r="AI23" s="16">
        <f t="shared" si="3"/>
        <v>25</v>
      </c>
      <c r="AJ23" s="5" t="s">
        <v>134</v>
      </c>
      <c r="AK23" s="13"/>
      <c r="AL23" s="95"/>
      <c r="AM23" s="131">
        <v>2</v>
      </c>
      <c r="AN23" s="104">
        <v>2</v>
      </c>
      <c r="AO23" s="218">
        <v>0</v>
      </c>
      <c r="AP23" s="159">
        <v>6</v>
      </c>
      <c r="AQ23" s="145">
        <v>6</v>
      </c>
      <c r="AR23" s="219">
        <v>0</v>
      </c>
      <c r="AS23" s="97"/>
      <c r="AT23" s="165"/>
      <c r="AU23" s="220"/>
      <c r="AV23" s="222">
        <f t="shared" si="7"/>
        <v>0</v>
      </c>
    </row>
    <row r="24" spans="1:48" ht="18.75" customHeight="1" x14ac:dyDescent="0.3">
      <c r="A24" s="30">
        <v>39</v>
      </c>
      <c r="B24" s="138" t="s">
        <v>834</v>
      </c>
      <c r="C24" s="18" t="s">
        <v>59</v>
      </c>
      <c r="D24" s="19" t="s">
        <v>60</v>
      </c>
      <c r="E24" s="20" t="s">
        <v>835</v>
      </c>
      <c r="F24" s="6"/>
      <c r="G24" s="45">
        <v>1</v>
      </c>
      <c r="H24" s="6"/>
      <c r="I24" s="45"/>
      <c r="J24" s="6">
        <v>1</v>
      </c>
      <c r="K24" s="6"/>
      <c r="L24" s="45"/>
      <c r="M24" s="6">
        <v>1</v>
      </c>
      <c r="N24" s="6"/>
      <c r="O24" s="6"/>
      <c r="P24" s="45"/>
      <c r="Q24" s="6">
        <v>1</v>
      </c>
      <c r="R24" s="6"/>
      <c r="S24" s="6"/>
      <c r="T24" s="6"/>
      <c r="U24" s="6"/>
      <c r="V24" s="6"/>
      <c r="W24" s="6"/>
      <c r="X24" s="6"/>
      <c r="Y24" s="6">
        <v>1</v>
      </c>
      <c r="Z24" s="6"/>
      <c r="AA24" s="45"/>
      <c r="AB24" s="6">
        <v>1</v>
      </c>
      <c r="AC24" s="6"/>
      <c r="AD24" s="6"/>
      <c r="AE24" s="7">
        <v>2.4500000000000002</v>
      </c>
      <c r="AF24" s="7"/>
      <c r="AG24" s="16">
        <f t="shared" si="1"/>
        <v>8.4</v>
      </c>
      <c r="AH24" s="17">
        <f t="shared" si="2"/>
        <v>14.4</v>
      </c>
      <c r="AI24" s="16">
        <f t="shared" si="3"/>
        <v>25</v>
      </c>
      <c r="AJ24" s="5" t="s">
        <v>134</v>
      </c>
      <c r="AK24" s="13"/>
      <c r="AL24" s="95"/>
      <c r="AM24" s="139"/>
      <c r="AN24" s="104"/>
      <c r="AO24" s="218"/>
      <c r="AP24" s="144"/>
      <c r="AQ24" s="145"/>
      <c r="AR24" s="219"/>
      <c r="AS24" s="131">
        <v>5</v>
      </c>
      <c r="AT24" s="165">
        <v>5</v>
      </c>
      <c r="AU24" s="220">
        <v>0</v>
      </c>
      <c r="AV24" s="222">
        <f t="shared" si="7"/>
        <v>0</v>
      </c>
    </row>
    <row r="25" spans="1:48" ht="18.75" customHeight="1" x14ac:dyDescent="0.3">
      <c r="A25" s="29">
        <v>20</v>
      </c>
      <c r="B25" s="26" t="s">
        <v>148</v>
      </c>
      <c r="C25" s="18" t="s">
        <v>160</v>
      </c>
      <c r="D25" s="19" t="s">
        <v>161</v>
      </c>
      <c r="E25" s="20" t="s">
        <v>164</v>
      </c>
      <c r="F25" s="6"/>
      <c r="G25" s="45">
        <v>4</v>
      </c>
      <c r="H25" s="6"/>
      <c r="I25" s="45">
        <v>1</v>
      </c>
      <c r="J25" s="6">
        <v>4</v>
      </c>
      <c r="K25" s="6"/>
      <c r="L25" s="45">
        <v>4</v>
      </c>
      <c r="M25" s="6"/>
      <c r="N25" s="6"/>
      <c r="O25" s="6">
        <v>4</v>
      </c>
      <c r="P25" s="45">
        <v>4</v>
      </c>
      <c r="Q25" s="6">
        <v>4</v>
      </c>
      <c r="R25" s="6"/>
      <c r="S25" s="6"/>
      <c r="T25" s="6">
        <v>4</v>
      </c>
      <c r="U25" s="6">
        <v>4</v>
      </c>
      <c r="V25" s="6">
        <v>4</v>
      </c>
      <c r="W25" s="6">
        <v>2</v>
      </c>
      <c r="X25" s="6">
        <v>4</v>
      </c>
      <c r="Y25" s="6">
        <v>4</v>
      </c>
      <c r="Z25" s="6"/>
      <c r="AA25" s="45">
        <v>4</v>
      </c>
      <c r="AB25" s="6">
        <v>4</v>
      </c>
      <c r="AC25" s="6"/>
      <c r="AD25" s="6">
        <v>4</v>
      </c>
      <c r="AE25" s="7">
        <v>0.03</v>
      </c>
      <c r="AF25" s="7"/>
      <c r="AG25" s="16">
        <f t="shared" si="1"/>
        <v>4.0999999999999996</v>
      </c>
      <c r="AH25" s="17">
        <f t="shared" si="2"/>
        <v>10.1</v>
      </c>
      <c r="AI25" s="16">
        <f t="shared" si="3"/>
        <v>18</v>
      </c>
      <c r="AJ25" s="5" t="s">
        <v>134</v>
      </c>
      <c r="AK25" s="13"/>
      <c r="AL25" s="95"/>
      <c r="AM25" s="131">
        <v>20</v>
      </c>
      <c r="AN25" s="104">
        <v>20</v>
      </c>
      <c r="AO25" s="218">
        <v>0</v>
      </c>
      <c r="AP25" s="144"/>
      <c r="AQ25" s="145"/>
      <c r="AR25" s="219"/>
      <c r="AS25" s="97"/>
      <c r="AT25" s="165"/>
      <c r="AU25" s="220"/>
      <c r="AV25" s="222">
        <f t="shared" si="7"/>
        <v>0</v>
      </c>
    </row>
    <row r="26" spans="1:48" ht="18.75" customHeight="1" x14ac:dyDescent="0.3">
      <c r="A26" s="30">
        <v>5</v>
      </c>
      <c r="B26" s="25" t="s">
        <v>27</v>
      </c>
      <c r="C26" s="18" t="s">
        <v>65</v>
      </c>
      <c r="D26" s="19" t="s">
        <v>66</v>
      </c>
      <c r="E26" s="20" t="s">
        <v>99</v>
      </c>
      <c r="F26" s="6">
        <v>4</v>
      </c>
      <c r="G26" s="45">
        <v>4</v>
      </c>
      <c r="H26" s="6">
        <v>4</v>
      </c>
      <c r="I26" s="45">
        <v>5</v>
      </c>
      <c r="J26" s="6">
        <v>4</v>
      </c>
      <c r="K26" s="6">
        <v>4</v>
      </c>
      <c r="L26" s="45">
        <v>5</v>
      </c>
      <c r="M26" s="6">
        <v>4</v>
      </c>
      <c r="N26" s="6">
        <v>4</v>
      </c>
      <c r="O26" s="6">
        <v>5</v>
      </c>
      <c r="P26" s="45">
        <v>5</v>
      </c>
      <c r="Q26" s="6">
        <v>4</v>
      </c>
      <c r="R26" s="6">
        <v>4</v>
      </c>
      <c r="S26" s="6">
        <v>4</v>
      </c>
      <c r="T26" s="6">
        <v>5</v>
      </c>
      <c r="U26" s="6">
        <v>5</v>
      </c>
      <c r="V26" s="6">
        <v>5</v>
      </c>
      <c r="W26" s="6">
        <v>2</v>
      </c>
      <c r="X26" s="6">
        <v>5</v>
      </c>
      <c r="Y26" s="6">
        <v>4</v>
      </c>
      <c r="Z26" s="6">
        <v>4</v>
      </c>
      <c r="AA26" s="45">
        <v>5</v>
      </c>
      <c r="AB26" s="6"/>
      <c r="AC26" s="6"/>
      <c r="AD26" s="6"/>
      <c r="AE26" s="7">
        <v>0.4</v>
      </c>
      <c r="AF26" s="180">
        <v>5.577</v>
      </c>
      <c r="AG26" s="16">
        <f t="shared" si="1"/>
        <v>4.7</v>
      </c>
      <c r="AH26" s="17">
        <f t="shared" si="2"/>
        <v>10.7</v>
      </c>
      <c r="AI26" s="16">
        <f t="shared" si="3"/>
        <v>19</v>
      </c>
      <c r="AJ26" s="5" t="s">
        <v>137</v>
      </c>
      <c r="AK26" s="13"/>
      <c r="AL26" s="95"/>
      <c r="AM26" s="131">
        <v>12</v>
      </c>
      <c r="AN26" s="104">
        <v>12</v>
      </c>
      <c r="AO26" s="218">
        <v>0</v>
      </c>
      <c r="AP26" s="159">
        <v>40</v>
      </c>
      <c r="AQ26" s="145">
        <v>40</v>
      </c>
      <c r="AR26" s="219">
        <v>0</v>
      </c>
      <c r="AS26" s="97"/>
      <c r="AT26" s="165"/>
      <c r="AU26" s="220"/>
      <c r="AV26" s="222">
        <f t="shared" si="7"/>
        <v>0</v>
      </c>
    </row>
    <row r="27" spans="1:48" ht="18.75" customHeight="1" x14ac:dyDescent="0.3">
      <c r="A27" s="30">
        <v>5</v>
      </c>
      <c r="B27" s="125" t="s">
        <v>777</v>
      </c>
      <c r="C27" s="18" t="s">
        <v>65</v>
      </c>
      <c r="D27" s="19" t="s">
        <v>66</v>
      </c>
      <c r="E27" s="20" t="s">
        <v>99</v>
      </c>
      <c r="F27" s="6"/>
      <c r="G27" s="45"/>
      <c r="H27" s="6"/>
      <c r="I27" s="45"/>
      <c r="J27" s="6"/>
      <c r="K27" s="6"/>
      <c r="L27" s="45"/>
      <c r="M27" s="6"/>
      <c r="N27" s="6"/>
      <c r="O27" s="6"/>
      <c r="P27" s="45"/>
      <c r="Q27" s="6"/>
      <c r="R27" s="6"/>
      <c r="S27" s="6"/>
      <c r="T27" s="6"/>
      <c r="U27" s="6"/>
      <c r="V27" s="6"/>
      <c r="W27" s="6"/>
      <c r="X27" s="6"/>
      <c r="Y27" s="6"/>
      <c r="Z27" s="6"/>
      <c r="AA27" s="45"/>
      <c r="AB27" s="6">
        <v>4</v>
      </c>
      <c r="AC27" s="6">
        <v>4</v>
      </c>
      <c r="AD27" s="6">
        <v>5</v>
      </c>
      <c r="AE27" s="7">
        <v>1.07</v>
      </c>
      <c r="AF27" s="7"/>
      <c r="AG27" s="16">
        <f t="shared" si="1"/>
        <v>5.9</v>
      </c>
      <c r="AH27" s="17">
        <f t="shared" si="2"/>
        <v>11.9</v>
      </c>
      <c r="AI27" s="16">
        <f t="shared" si="3"/>
        <v>21</v>
      </c>
      <c r="AJ27" s="5" t="s">
        <v>137</v>
      </c>
      <c r="AK27" s="13"/>
      <c r="AL27" s="95"/>
      <c r="AM27" s="97"/>
      <c r="AN27" s="104"/>
      <c r="AO27" s="218"/>
      <c r="AP27" s="159">
        <v>20</v>
      </c>
      <c r="AQ27" s="145">
        <v>20</v>
      </c>
      <c r="AR27" s="219">
        <v>0</v>
      </c>
      <c r="AS27" s="97"/>
      <c r="AT27" s="165"/>
      <c r="AU27" s="220"/>
      <c r="AV27" s="222">
        <f t="shared" si="7"/>
        <v>0</v>
      </c>
    </row>
    <row r="28" spans="1:48" ht="18.75" customHeight="1" x14ac:dyDescent="0.3">
      <c r="A28" s="30">
        <v>6</v>
      </c>
      <c r="B28" s="25" t="s">
        <v>28</v>
      </c>
      <c r="C28" s="18" t="s">
        <v>67</v>
      </c>
      <c r="D28" s="19" t="s">
        <v>68</v>
      </c>
      <c r="E28" s="20" t="s">
        <v>100</v>
      </c>
      <c r="F28" s="6">
        <v>4</v>
      </c>
      <c r="G28" s="45">
        <v>4</v>
      </c>
      <c r="H28" s="6">
        <v>4</v>
      </c>
      <c r="I28" s="45">
        <v>5</v>
      </c>
      <c r="J28" s="6">
        <v>4</v>
      </c>
      <c r="K28" s="6">
        <v>4</v>
      </c>
      <c r="L28" s="45">
        <v>5</v>
      </c>
      <c r="M28" s="6">
        <v>4</v>
      </c>
      <c r="N28" s="6">
        <v>4</v>
      </c>
      <c r="O28" s="6">
        <v>5</v>
      </c>
      <c r="P28" s="45">
        <v>5</v>
      </c>
      <c r="Q28" s="6">
        <v>4</v>
      </c>
      <c r="R28" s="6">
        <v>4</v>
      </c>
      <c r="S28" s="6">
        <v>4</v>
      </c>
      <c r="T28" s="6">
        <v>5</v>
      </c>
      <c r="U28" s="6">
        <v>5</v>
      </c>
      <c r="V28" s="6">
        <v>5</v>
      </c>
      <c r="W28" s="6"/>
      <c r="X28" s="6">
        <v>5</v>
      </c>
      <c r="Y28" s="6">
        <v>4</v>
      </c>
      <c r="Z28" s="6">
        <v>4</v>
      </c>
      <c r="AA28" s="45">
        <v>5</v>
      </c>
      <c r="AB28" s="6">
        <v>4</v>
      </c>
      <c r="AC28" s="6">
        <v>4</v>
      </c>
      <c r="AD28" s="6">
        <v>5</v>
      </c>
      <c r="AE28" s="7">
        <v>0.08</v>
      </c>
      <c r="AF28" s="180">
        <v>4.2250000000000005</v>
      </c>
      <c r="AG28" s="16">
        <f t="shared" si="1"/>
        <v>4.0999999999999996</v>
      </c>
      <c r="AH28" s="17">
        <f t="shared" si="2"/>
        <v>10.1</v>
      </c>
      <c r="AI28" s="16">
        <f t="shared" si="3"/>
        <v>18</v>
      </c>
      <c r="AJ28" s="5" t="s">
        <v>137</v>
      </c>
      <c r="AK28" s="13"/>
      <c r="AL28" s="95"/>
      <c r="AM28" s="131">
        <v>12</v>
      </c>
      <c r="AN28" s="104">
        <v>12</v>
      </c>
      <c r="AO28" s="218">
        <v>0</v>
      </c>
      <c r="AP28" s="159">
        <v>40</v>
      </c>
      <c r="AQ28" s="145">
        <v>40</v>
      </c>
      <c r="AR28" s="219">
        <v>0</v>
      </c>
      <c r="AS28" s="97"/>
      <c r="AT28" s="165"/>
      <c r="AU28" s="220"/>
      <c r="AV28" s="222">
        <f t="shared" si="7"/>
        <v>0</v>
      </c>
    </row>
    <row r="29" spans="1:48" ht="18.75" customHeight="1" x14ac:dyDescent="0.3">
      <c r="A29" s="29">
        <v>4</v>
      </c>
      <c r="B29" s="26" t="s">
        <v>144</v>
      </c>
      <c r="C29" s="18" t="s">
        <v>158</v>
      </c>
      <c r="D29" s="19" t="s">
        <v>159</v>
      </c>
      <c r="E29" s="20" t="s">
        <v>162</v>
      </c>
      <c r="F29" s="6"/>
      <c r="G29" s="45">
        <v>8</v>
      </c>
      <c r="H29" s="6"/>
      <c r="I29" s="45"/>
      <c r="J29" s="6"/>
      <c r="K29" s="6"/>
      <c r="L29" s="45"/>
      <c r="M29" s="6"/>
      <c r="N29" s="6"/>
      <c r="O29" s="6"/>
      <c r="P29" s="45"/>
      <c r="Q29" s="6">
        <v>8</v>
      </c>
      <c r="R29" s="6"/>
      <c r="S29" s="6"/>
      <c r="T29" s="6"/>
      <c r="U29" s="6"/>
      <c r="V29" s="6"/>
      <c r="W29" s="6"/>
      <c r="X29" s="6"/>
      <c r="Y29" s="6"/>
      <c r="Z29" s="6"/>
      <c r="AA29" s="45"/>
      <c r="AB29" s="6"/>
      <c r="AC29" s="6"/>
      <c r="AD29" s="6"/>
      <c r="AE29" s="7">
        <v>1.3000000000000001E-2</v>
      </c>
      <c r="AF29" s="7"/>
      <c r="AG29" s="16">
        <f t="shared" si="1"/>
        <v>4</v>
      </c>
      <c r="AH29" s="17">
        <f t="shared" si="2"/>
        <v>10</v>
      </c>
      <c r="AI29" s="16">
        <f t="shared" si="3"/>
        <v>17</v>
      </c>
      <c r="AJ29" s="5" t="s">
        <v>137</v>
      </c>
      <c r="AK29" s="13"/>
      <c r="AL29" s="95"/>
      <c r="AM29" s="131">
        <v>40</v>
      </c>
      <c r="AN29" s="104">
        <v>40</v>
      </c>
      <c r="AO29" s="218">
        <v>0</v>
      </c>
      <c r="AP29" s="144"/>
      <c r="AQ29" s="145"/>
      <c r="AR29" s="219"/>
      <c r="AS29" s="97"/>
      <c r="AT29" s="165"/>
      <c r="AU29" s="220"/>
      <c r="AV29" s="222">
        <f t="shared" si="7"/>
        <v>0</v>
      </c>
    </row>
    <row r="30" spans="1:48" ht="18.75" customHeight="1" x14ac:dyDescent="0.3">
      <c r="A30" s="30">
        <v>9</v>
      </c>
      <c r="B30" s="26" t="s">
        <v>146</v>
      </c>
      <c r="C30" s="18" t="s">
        <v>158</v>
      </c>
      <c r="D30" s="19" t="s">
        <v>159</v>
      </c>
      <c r="E30" s="20" t="s">
        <v>163</v>
      </c>
      <c r="F30" s="6"/>
      <c r="G30" s="45">
        <v>2</v>
      </c>
      <c r="H30" s="6"/>
      <c r="I30" s="45"/>
      <c r="J30" s="6">
        <v>2</v>
      </c>
      <c r="K30" s="6"/>
      <c r="L30" s="45"/>
      <c r="M30" s="6"/>
      <c r="N30" s="6"/>
      <c r="O30" s="6"/>
      <c r="P30" s="45"/>
      <c r="Q30" s="6">
        <v>2</v>
      </c>
      <c r="R30" s="6"/>
      <c r="S30" s="6"/>
      <c r="T30" s="6"/>
      <c r="U30" s="6"/>
      <c r="V30" s="6"/>
      <c r="W30" s="6"/>
      <c r="X30" s="6"/>
      <c r="Y30" s="6">
        <v>2</v>
      </c>
      <c r="Z30" s="6"/>
      <c r="AA30" s="45"/>
      <c r="AB30" s="6">
        <v>2</v>
      </c>
      <c r="AC30" s="6"/>
      <c r="AD30" s="6"/>
      <c r="AE30" s="7">
        <v>1.6923245000000003E-2</v>
      </c>
      <c r="AF30" s="7"/>
      <c r="AG30" s="16">
        <f t="shared" si="1"/>
        <v>4</v>
      </c>
      <c r="AH30" s="17">
        <f t="shared" si="2"/>
        <v>10</v>
      </c>
      <c r="AI30" s="16">
        <f t="shared" si="3"/>
        <v>17</v>
      </c>
      <c r="AJ30" s="5" t="s">
        <v>137</v>
      </c>
      <c r="AK30" s="13"/>
      <c r="AL30" s="95"/>
      <c r="AM30" s="97"/>
      <c r="AN30" s="104"/>
      <c r="AO30" s="218"/>
      <c r="AP30" s="144"/>
      <c r="AQ30" s="145"/>
      <c r="AR30" s="219"/>
      <c r="AS30" s="97"/>
      <c r="AT30" s="165"/>
      <c r="AU30" s="220"/>
      <c r="AV30" s="222">
        <f t="shared" si="7"/>
        <v>0</v>
      </c>
    </row>
    <row r="31" spans="1:48" ht="18.75" customHeight="1" x14ac:dyDescent="0.3">
      <c r="A31" s="29">
        <v>4</v>
      </c>
      <c r="B31" s="24" t="s">
        <v>26</v>
      </c>
      <c r="C31" s="18" t="s">
        <v>63</v>
      </c>
      <c r="D31" s="19" t="s">
        <v>64</v>
      </c>
      <c r="E31" s="20" t="s">
        <v>735</v>
      </c>
      <c r="F31" s="6">
        <v>1</v>
      </c>
      <c r="G31" s="45"/>
      <c r="H31" s="6"/>
      <c r="I31" s="45"/>
      <c r="J31" s="6"/>
      <c r="K31" s="6"/>
      <c r="L31" s="45"/>
      <c r="M31" s="6"/>
      <c r="N31" s="6"/>
      <c r="O31" s="6"/>
      <c r="P31" s="45"/>
      <c r="Q31" s="6"/>
      <c r="R31" s="6"/>
      <c r="S31" s="6"/>
      <c r="T31" s="6"/>
      <c r="U31" s="6"/>
      <c r="V31" s="6"/>
      <c r="W31" s="6"/>
      <c r="X31" s="6"/>
      <c r="Y31" s="6"/>
      <c r="Z31" s="6"/>
      <c r="AA31" s="45"/>
      <c r="AB31" s="6"/>
      <c r="AC31" s="6"/>
      <c r="AD31" s="6"/>
      <c r="AE31" s="7">
        <v>12.285</v>
      </c>
      <c r="AF31" s="7"/>
      <c r="AG31" s="16">
        <f t="shared" si="1"/>
        <v>26.1</v>
      </c>
      <c r="AH31" s="17">
        <f t="shared" si="2"/>
        <v>32.1</v>
      </c>
      <c r="AI31" s="16">
        <f t="shared" si="3"/>
        <v>56</v>
      </c>
      <c r="AJ31" s="5" t="s">
        <v>136</v>
      </c>
      <c r="AK31" s="13"/>
      <c r="AL31" s="95"/>
      <c r="AM31" s="131">
        <v>2</v>
      </c>
      <c r="AN31" s="104">
        <v>2</v>
      </c>
      <c r="AO31" s="218">
        <v>0</v>
      </c>
      <c r="AP31" s="144"/>
      <c r="AQ31" s="145"/>
      <c r="AR31" s="219"/>
      <c r="AS31" s="97"/>
      <c r="AT31" s="165"/>
      <c r="AU31" s="220"/>
      <c r="AV31" s="222">
        <f t="shared" si="7"/>
        <v>0</v>
      </c>
    </row>
    <row r="32" spans="1:48" ht="18.75" customHeight="1" x14ac:dyDescent="0.3">
      <c r="A32" s="29">
        <v>4</v>
      </c>
      <c r="B32" s="125" t="s">
        <v>825</v>
      </c>
      <c r="C32" s="18" t="s">
        <v>63</v>
      </c>
      <c r="D32" s="19" t="s">
        <v>64</v>
      </c>
      <c r="E32" s="20" t="s">
        <v>735</v>
      </c>
      <c r="F32" s="6"/>
      <c r="G32" s="45"/>
      <c r="H32" s="6"/>
      <c r="I32" s="45"/>
      <c r="J32" s="6"/>
      <c r="K32" s="6">
        <v>1</v>
      </c>
      <c r="L32" s="45"/>
      <c r="M32" s="6"/>
      <c r="N32" s="6"/>
      <c r="O32" s="6"/>
      <c r="P32" s="45"/>
      <c r="Q32" s="6"/>
      <c r="R32" s="6"/>
      <c r="S32" s="6"/>
      <c r="T32" s="6"/>
      <c r="U32" s="6"/>
      <c r="V32" s="6"/>
      <c r="W32" s="6"/>
      <c r="X32" s="6"/>
      <c r="Y32" s="6"/>
      <c r="Z32" s="6"/>
      <c r="AA32" s="45"/>
      <c r="AB32" s="6"/>
      <c r="AC32" s="6"/>
      <c r="AD32" s="6"/>
      <c r="AE32" s="7">
        <v>16.579999999999998</v>
      </c>
      <c r="AF32" s="7"/>
      <c r="AG32" s="16">
        <f t="shared" ref="AG32" si="26">ROUND((AE32*1.2*1.5+4)*10,0)/10</f>
        <v>33.799999999999997</v>
      </c>
      <c r="AH32" s="17">
        <f t="shared" ref="AH32" si="27">ROUND((AE32*1.2*1.5+10)*10,0)/10</f>
        <v>39.799999999999997</v>
      </c>
      <c r="AI32" s="16">
        <f t="shared" ref="AI32" si="28">ROUND(AH32/0.7*1.22,0)</f>
        <v>69</v>
      </c>
      <c r="AJ32" s="5" t="s">
        <v>136</v>
      </c>
      <c r="AK32" s="13"/>
      <c r="AL32" s="95"/>
      <c r="AM32" s="97"/>
      <c r="AN32" s="104"/>
      <c r="AO32" s="218"/>
      <c r="AP32" s="159">
        <v>2</v>
      </c>
      <c r="AQ32" s="145">
        <v>2</v>
      </c>
      <c r="AR32" s="219">
        <v>0</v>
      </c>
      <c r="AS32" s="97"/>
      <c r="AT32" s="165"/>
      <c r="AU32" s="220"/>
      <c r="AV32" s="222">
        <f t="shared" si="7"/>
        <v>0</v>
      </c>
    </row>
    <row r="33" spans="1:48" ht="18.75" customHeight="1" x14ac:dyDescent="0.3">
      <c r="A33" s="29">
        <v>4</v>
      </c>
      <c r="B33" s="125" t="s">
        <v>736</v>
      </c>
      <c r="C33" s="18" t="s">
        <v>737</v>
      </c>
      <c r="D33" s="19" t="s">
        <v>738</v>
      </c>
      <c r="E33" s="20" t="s">
        <v>735</v>
      </c>
      <c r="F33" s="6"/>
      <c r="G33" s="45"/>
      <c r="H33" s="6"/>
      <c r="I33" s="45"/>
      <c r="J33" s="6"/>
      <c r="K33" s="6"/>
      <c r="L33" s="45">
        <v>1</v>
      </c>
      <c r="M33" s="6"/>
      <c r="N33" s="6"/>
      <c r="O33" s="6"/>
      <c r="P33" s="45"/>
      <c r="Q33" s="6"/>
      <c r="R33" s="6"/>
      <c r="S33" s="6"/>
      <c r="T33" s="6"/>
      <c r="U33" s="6"/>
      <c r="V33" s="6"/>
      <c r="W33" s="6"/>
      <c r="X33" s="6"/>
      <c r="Y33" s="6"/>
      <c r="Z33" s="6"/>
      <c r="AA33" s="45"/>
      <c r="AB33" s="6"/>
      <c r="AC33" s="6"/>
      <c r="AD33" s="6"/>
      <c r="AE33" s="7">
        <v>14.798326288333328</v>
      </c>
      <c r="AF33" s="7"/>
      <c r="AG33" s="16">
        <f t="shared" si="1"/>
        <v>30.6</v>
      </c>
      <c r="AH33" s="17">
        <f t="shared" si="2"/>
        <v>36.6</v>
      </c>
      <c r="AI33" s="16">
        <f t="shared" si="3"/>
        <v>64</v>
      </c>
      <c r="AJ33" s="5" t="s">
        <v>136</v>
      </c>
      <c r="AK33" s="13"/>
      <c r="AL33" s="95"/>
      <c r="AM33" s="97"/>
      <c r="AN33" s="104"/>
      <c r="AO33" s="218"/>
      <c r="AP33" s="159">
        <v>2</v>
      </c>
      <c r="AQ33" s="145">
        <v>2</v>
      </c>
      <c r="AR33" s="219">
        <v>0</v>
      </c>
      <c r="AS33" s="97"/>
      <c r="AT33" s="165"/>
      <c r="AU33" s="220"/>
      <c r="AV33" s="222">
        <f t="shared" si="7"/>
        <v>0</v>
      </c>
    </row>
    <row r="34" spans="1:48" ht="18.75" customHeight="1" x14ac:dyDescent="0.3">
      <c r="A34" s="29">
        <v>4</v>
      </c>
      <c r="B34" s="125" t="s">
        <v>771</v>
      </c>
      <c r="C34" s="18" t="s">
        <v>737</v>
      </c>
      <c r="D34" s="19" t="s">
        <v>738</v>
      </c>
      <c r="E34" s="20" t="s">
        <v>735</v>
      </c>
      <c r="F34" s="6"/>
      <c r="G34" s="45"/>
      <c r="H34" s="6"/>
      <c r="I34" s="45"/>
      <c r="J34" s="6"/>
      <c r="K34" s="6"/>
      <c r="L34" s="45"/>
      <c r="M34" s="6"/>
      <c r="N34" s="6"/>
      <c r="O34" s="6"/>
      <c r="P34" s="45"/>
      <c r="Q34" s="6"/>
      <c r="R34" s="6"/>
      <c r="S34" s="6"/>
      <c r="T34" s="6"/>
      <c r="U34" s="6"/>
      <c r="V34" s="6"/>
      <c r="W34" s="6"/>
      <c r="X34" s="6"/>
      <c r="Y34" s="6"/>
      <c r="Z34" s="6">
        <v>1</v>
      </c>
      <c r="AA34" s="45"/>
      <c r="AB34" s="6"/>
      <c r="AC34" s="6"/>
      <c r="AD34" s="6"/>
      <c r="AE34" s="7">
        <v>16.579999999999998</v>
      </c>
      <c r="AF34" s="7"/>
      <c r="AG34" s="16">
        <f t="shared" si="1"/>
        <v>33.799999999999997</v>
      </c>
      <c r="AH34" s="17">
        <f t="shared" si="2"/>
        <v>39.799999999999997</v>
      </c>
      <c r="AI34" s="16">
        <f t="shared" si="3"/>
        <v>69</v>
      </c>
      <c r="AJ34" s="5" t="s">
        <v>136</v>
      </c>
      <c r="AK34" s="13"/>
      <c r="AL34" s="95"/>
      <c r="AM34" s="97"/>
      <c r="AN34" s="104"/>
      <c r="AO34" s="218"/>
      <c r="AP34" s="159">
        <v>3</v>
      </c>
      <c r="AQ34" s="145">
        <v>3</v>
      </c>
      <c r="AR34" s="219">
        <v>0</v>
      </c>
      <c r="AS34" s="97"/>
      <c r="AT34" s="165"/>
      <c r="AU34" s="220"/>
      <c r="AV34" s="222">
        <f t="shared" si="7"/>
        <v>0</v>
      </c>
    </row>
    <row r="35" spans="1:48" ht="18.75" customHeight="1" x14ac:dyDescent="0.3">
      <c r="A35" s="29">
        <v>4</v>
      </c>
      <c r="B35" s="125" t="s">
        <v>775</v>
      </c>
      <c r="C35" s="18" t="s">
        <v>737</v>
      </c>
      <c r="D35" s="19" t="s">
        <v>738</v>
      </c>
      <c r="E35" s="20" t="s">
        <v>735</v>
      </c>
      <c r="F35" s="6"/>
      <c r="G35" s="45"/>
      <c r="H35" s="6"/>
      <c r="I35" s="45"/>
      <c r="J35" s="6"/>
      <c r="K35" s="6"/>
      <c r="L35" s="45"/>
      <c r="M35" s="6"/>
      <c r="N35" s="6"/>
      <c r="O35" s="6"/>
      <c r="P35" s="45"/>
      <c r="Q35" s="6"/>
      <c r="R35" s="6"/>
      <c r="S35" s="6"/>
      <c r="T35" s="6"/>
      <c r="U35" s="6"/>
      <c r="V35" s="6"/>
      <c r="W35" s="6"/>
      <c r="X35" s="6"/>
      <c r="Y35" s="6"/>
      <c r="Z35" s="6"/>
      <c r="AA35" s="45">
        <v>1</v>
      </c>
      <c r="AB35" s="6"/>
      <c r="AC35" s="6"/>
      <c r="AD35" s="6"/>
      <c r="AE35" s="7">
        <v>14.8</v>
      </c>
      <c r="AF35" s="7"/>
      <c r="AG35" s="16">
        <f t="shared" si="1"/>
        <v>30.6</v>
      </c>
      <c r="AH35" s="17">
        <f t="shared" si="2"/>
        <v>36.6</v>
      </c>
      <c r="AI35" s="16">
        <f t="shared" si="3"/>
        <v>64</v>
      </c>
      <c r="AJ35" s="5" t="s">
        <v>136</v>
      </c>
      <c r="AK35" s="13"/>
      <c r="AL35" s="95"/>
      <c r="AM35" s="97"/>
      <c r="AN35" s="104"/>
      <c r="AO35" s="218"/>
      <c r="AP35" s="159">
        <v>2</v>
      </c>
      <c r="AQ35" s="145">
        <v>2</v>
      </c>
      <c r="AR35" s="219">
        <v>0</v>
      </c>
      <c r="AS35" s="97"/>
      <c r="AT35" s="165"/>
      <c r="AU35" s="220"/>
      <c r="AV35" s="222">
        <f t="shared" si="7"/>
        <v>0</v>
      </c>
    </row>
    <row r="36" spans="1:48" ht="18.75" customHeight="1" x14ac:dyDescent="0.3">
      <c r="A36" s="29">
        <v>4</v>
      </c>
      <c r="B36" s="125" t="s">
        <v>776</v>
      </c>
      <c r="C36" s="18" t="s">
        <v>737</v>
      </c>
      <c r="D36" s="19" t="s">
        <v>738</v>
      </c>
      <c r="E36" s="20" t="s">
        <v>735</v>
      </c>
      <c r="F36" s="6"/>
      <c r="G36" s="45"/>
      <c r="H36" s="6"/>
      <c r="I36" s="45"/>
      <c r="J36" s="6"/>
      <c r="K36" s="6"/>
      <c r="L36" s="45"/>
      <c r="M36" s="6"/>
      <c r="N36" s="6"/>
      <c r="O36" s="6"/>
      <c r="P36" s="45"/>
      <c r="Q36" s="6"/>
      <c r="R36" s="6"/>
      <c r="S36" s="6"/>
      <c r="T36" s="6"/>
      <c r="U36" s="6"/>
      <c r="V36" s="6"/>
      <c r="W36" s="6"/>
      <c r="X36" s="6"/>
      <c r="Y36" s="6"/>
      <c r="Z36" s="6"/>
      <c r="AA36" s="45"/>
      <c r="AB36" s="6"/>
      <c r="AC36" s="6">
        <v>1</v>
      </c>
      <c r="AD36" s="6"/>
      <c r="AE36" s="7">
        <v>10.89</v>
      </c>
      <c r="AF36" s="7"/>
      <c r="AG36" s="16">
        <f t="shared" si="1"/>
        <v>23.6</v>
      </c>
      <c r="AH36" s="17">
        <f t="shared" si="2"/>
        <v>29.6</v>
      </c>
      <c r="AI36" s="16">
        <f t="shared" si="3"/>
        <v>52</v>
      </c>
      <c r="AJ36" s="5" t="s">
        <v>136</v>
      </c>
      <c r="AK36" s="13"/>
      <c r="AL36" s="95"/>
      <c r="AM36" s="97"/>
      <c r="AN36" s="104"/>
      <c r="AO36" s="218"/>
      <c r="AP36" s="159">
        <v>3</v>
      </c>
      <c r="AQ36" s="145">
        <v>3</v>
      </c>
      <c r="AR36" s="219">
        <v>0</v>
      </c>
      <c r="AS36" s="131">
        <v>1</v>
      </c>
      <c r="AT36" s="165">
        <v>1</v>
      </c>
      <c r="AU36" s="220">
        <v>0</v>
      </c>
      <c r="AV36" s="222">
        <f t="shared" si="7"/>
        <v>0</v>
      </c>
    </row>
    <row r="37" spans="1:48" ht="18.75" customHeight="1" x14ac:dyDescent="0.3">
      <c r="A37" s="29">
        <v>4</v>
      </c>
      <c r="B37" s="125" t="s">
        <v>778</v>
      </c>
      <c r="C37" s="18" t="s">
        <v>737</v>
      </c>
      <c r="D37" s="19" t="s">
        <v>738</v>
      </c>
      <c r="E37" s="20" t="s">
        <v>735</v>
      </c>
      <c r="F37" s="6"/>
      <c r="G37" s="45"/>
      <c r="H37" s="6"/>
      <c r="I37" s="45"/>
      <c r="J37" s="6"/>
      <c r="K37" s="6"/>
      <c r="L37" s="45"/>
      <c r="M37" s="6"/>
      <c r="N37" s="6"/>
      <c r="O37" s="6"/>
      <c r="P37" s="45"/>
      <c r="Q37" s="6"/>
      <c r="R37" s="6"/>
      <c r="S37" s="6"/>
      <c r="T37" s="6"/>
      <c r="U37" s="6"/>
      <c r="V37" s="6"/>
      <c r="W37" s="6"/>
      <c r="X37" s="6"/>
      <c r="Y37" s="6"/>
      <c r="Z37" s="6"/>
      <c r="AA37" s="45"/>
      <c r="AB37" s="6"/>
      <c r="AC37" s="6"/>
      <c r="AD37" s="6">
        <v>1</v>
      </c>
      <c r="AE37" s="7">
        <v>16.489999999999998</v>
      </c>
      <c r="AF37" s="7"/>
      <c r="AG37" s="16">
        <f t="shared" si="1"/>
        <v>33.700000000000003</v>
      </c>
      <c r="AH37" s="17">
        <f t="shared" si="2"/>
        <v>39.700000000000003</v>
      </c>
      <c r="AI37" s="16">
        <f t="shared" si="3"/>
        <v>69</v>
      </c>
      <c r="AJ37" s="5" t="s">
        <v>136</v>
      </c>
      <c r="AK37" s="13"/>
      <c r="AL37" s="95"/>
      <c r="AM37" s="97"/>
      <c r="AN37" s="104"/>
      <c r="AO37" s="218"/>
      <c r="AP37" s="159">
        <v>3</v>
      </c>
      <c r="AQ37" s="145">
        <v>3</v>
      </c>
      <c r="AR37" s="219">
        <v>0</v>
      </c>
      <c r="AS37" s="97"/>
      <c r="AT37" s="165"/>
      <c r="AU37" s="220"/>
      <c r="AV37" s="222">
        <f t="shared" si="7"/>
        <v>0</v>
      </c>
    </row>
    <row r="38" spans="1:48" ht="18.75" customHeight="1" x14ac:dyDescent="0.3">
      <c r="A38" s="29">
        <v>4</v>
      </c>
      <c r="B38" s="125" t="s">
        <v>780</v>
      </c>
      <c r="C38" s="18" t="s">
        <v>737</v>
      </c>
      <c r="D38" s="19" t="s">
        <v>738</v>
      </c>
      <c r="E38" s="20" t="s">
        <v>735</v>
      </c>
      <c r="F38" s="6"/>
      <c r="G38" s="45"/>
      <c r="H38" s="6"/>
      <c r="I38" s="45"/>
      <c r="J38" s="6"/>
      <c r="K38" s="6"/>
      <c r="L38" s="45"/>
      <c r="M38" s="6"/>
      <c r="N38" s="6"/>
      <c r="O38" s="6"/>
      <c r="P38" s="45"/>
      <c r="Q38" s="6"/>
      <c r="R38" s="6">
        <v>1</v>
      </c>
      <c r="S38" s="6">
        <v>1</v>
      </c>
      <c r="T38" s="6"/>
      <c r="U38" s="6"/>
      <c r="V38" s="6"/>
      <c r="W38" s="6"/>
      <c r="X38" s="6"/>
      <c r="Y38" s="6"/>
      <c r="Z38" s="6"/>
      <c r="AA38" s="45"/>
      <c r="AB38" s="6"/>
      <c r="AC38" s="6"/>
      <c r="AD38" s="6"/>
      <c r="AE38" s="7">
        <v>16.579999999999998</v>
      </c>
      <c r="AF38" s="7"/>
      <c r="AG38" s="16">
        <f t="shared" si="1"/>
        <v>33.799999999999997</v>
      </c>
      <c r="AH38" s="17">
        <f t="shared" si="2"/>
        <v>39.799999999999997</v>
      </c>
      <c r="AI38" s="16">
        <f t="shared" si="3"/>
        <v>69</v>
      </c>
      <c r="AJ38" s="5" t="s">
        <v>136</v>
      </c>
      <c r="AK38" s="13"/>
      <c r="AL38" s="95"/>
      <c r="AM38" s="97"/>
      <c r="AN38" s="104"/>
      <c r="AO38" s="218"/>
      <c r="AP38" s="159">
        <v>4</v>
      </c>
      <c r="AQ38" s="145">
        <v>4</v>
      </c>
      <c r="AR38" s="219">
        <v>0</v>
      </c>
      <c r="AS38" s="131">
        <v>2</v>
      </c>
      <c r="AT38" s="165">
        <v>2</v>
      </c>
      <c r="AU38" s="220">
        <v>0</v>
      </c>
      <c r="AV38" s="222">
        <f t="shared" si="7"/>
        <v>0</v>
      </c>
    </row>
    <row r="39" spans="1:48" ht="18.75" customHeight="1" x14ac:dyDescent="0.3">
      <c r="A39" s="29">
        <v>4</v>
      </c>
      <c r="B39" s="125" t="s">
        <v>781</v>
      </c>
      <c r="C39" s="18" t="s">
        <v>737</v>
      </c>
      <c r="D39" s="19" t="s">
        <v>738</v>
      </c>
      <c r="E39" s="20" t="s">
        <v>735</v>
      </c>
      <c r="F39" s="6"/>
      <c r="G39" s="45"/>
      <c r="H39" s="6"/>
      <c r="I39" s="45"/>
      <c r="J39" s="6"/>
      <c r="K39" s="6"/>
      <c r="L39" s="45"/>
      <c r="M39" s="6"/>
      <c r="N39" s="6"/>
      <c r="O39" s="6"/>
      <c r="P39" s="45"/>
      <c r="Q39" s="6"/>
      <c r="R39" s="6"/>
      <c r="S39" s="6"/>
      <c r="T39" s="6">
        <v>1</v>
      </c>
      <c r="U39" s="6">
        <v>1</v>
      </c>
      <c r="V39" s="6"/>
      <c r="W39" s="6"/>
      <c r="X39" s="6"/>
      <c r="Y39" s="6"/>
      <c r="Z39" s="6"/>
      <c r="AA39" s="45"/>
      <c r="AB39" s="6"/>
      <c r="AC39" s="6"/>
      <c r="AD39" s="6"/>
      <c r="AE39" s="7">
        <v>14.8</v>
      </c>
      <c r="AF39" s="7"/>
      <c r="AG39" s="16">
        <f t="shared" si="1"/>
        <v>30.6</v>
      </c>
      <c r="AH39" s="17">
        <f t="shared" si="2"/>
        <v>36.6</v>
      </c>
      <c r="AI39" s="16">
        <f t="shared" si="3"/>
        <v>64</v>
      </c>
      <c r="AJ39" s="5" t="s">
        <v>136</v>
      </c>
      <c r="AK39" s="13"/>
      <c r="AL39" s="95"/>
      <c r="AM39" s="97"/>
      <c r="AN39" s="104"/>
      <c r="AO39" s="218"/>
      <c r="AP39" s="159">
        <v>3</v>
      </c>
      <c r="AQ39" s="145">
        <v>3</v>
      </c>
      <c r="AR39" s="219">
        <v>0</v>
      </c>
      <c r="AS39" s="131">
        <v>1</v>
      </c>
      <c r="AT39" s="165">
        <v>1</v>
      </c>
      <c r="AU39" s="220">
        <v>0</v>
      </c>
      <c r="AV39" s="222">
        <f t="shared" si="7"/>
        <v>0</v>
      </c>
    </row>
    <row r="40" spans="1:48" ht="18.75" customHeight="1" x14ac:dyDescent="0.3">
      <c r="A40" s="147">
        <v>4</v>
      </c>
      <c r="B40" s="149" t="s">
        <v>885</v>
      </c>
      <c r="C40" s="18" t="s">
        <v>737</v>
      </c>
      <c r="D40" s="19" t="s">
        <v>738</v>
      </c>
      <c r="E40" s="20" t="s">
        <v>735</v>
      </c>
      <c r="F40" s="6"/>
      <c r="G40" s="45"/>
      <c r="H40" s="6"/>
      <c r="I40" s="45"/>
      <c r="J40" s="6"/>
      <c r="K40" s="6"/>
      <c r="L40" s="45"/>
      <c r="M40" s="6"/>
      <c r="N40" s="6">
        <v>1</v>
      </c>
      <c r="O40" s="6"/>
      <c r="P40" s="45"/>
      <c r="Q40" s="6"/>
      <c r="R40" s="6"/>
      <c r="S40" s="6"/>
      <c r="T40" s="6"/>
      <c r="U40" s="6"/>
      <c r="V40" s="6"/>
      <c r="W40" s="6"/>
      <c r="X40" s="6"/>
      <c r="Y40" s="6"/>
      <c r="Z40" s="6"/>
      <c r="AA40" s="45"/>
      <c r="AB40" s="6"/>
      <c r="AC40" s="6"/>
      <c r="AD40" s="6"/>
      <c r="AE40" s="7">
        <v>10.6</v>
      </c>
      <c r="AF40" s="7"/>
      <c r="AG40" s="16">
        <f t="shared" si="1"/>
        <v>23.1</v>
      </c>
      <c r="AH40" s="17">
        <f t="shared" si="2"/>
        <v>29.1</v>
      </c>
      <c r="AI40" s="16">
        <f t="shared" si="3"/>
        <v>51</v>
      </c>
      <c r="AJ40" s="5" t="s">
        <v>136</v>
      </c>
      <c r="AK40" s="13"/>
      <c r="AL40" s="95"/>
      <c r="AM40" s="97"/>
      <c r="AN40" s="104"/>
      <c r="AO40" s="218"/>
      <c r="AP40" s="144"/>
      <c r="AQ40" s="145"/>
      <c r="AR40" s="219"/>
      <c r="AS40" s="131">
        <v>10</v>
      </c>
      <c r="AT40" s="165">
        <v>10</v>
      </c>
      <c r="AU40" s="220">
        <v>0</v>
      </c>
      <c r="AV40" s="222">
        <f t="shared" si="7"/>
        <v>0</v>
      </c>
    </row>
    <row r="41" spans="1:48" ht="18.75" customHeight="1" x14ac:dyDescent="0.3">
      <c r="A41" s="29">
        <v>8</v>
      </c>
      <c r="B41" s="26" t="s">
        <v>145</v>
      </c>
      <c r="C41" s="18" t="s">
        <v>63</v>
      </c>
      <c r="D41" s="19" t="s">
        <v>64</v>
      </c>
      <c r="E41" s="20" t="s">
        <v>735</v>
      </c>
      <c r="F41" s="6"/>
      <c r="G41" s="45">
        <v>1</v>
      </c>
      <c r="H41" s="6"/>
      <c r="I41" s="45"/>
      <c r="J41" s="6"/>
      <c r="K41" s="6"/>
      <c r="L41" s="45"/>
      <c r="M41" s="6"/>
      <c r="N41" s="6"/>
      <c r="O41" s="6"/>
      <c r="P41" s="45"/>
      <c r="Q41" s="6"/>
      <c r="R41" s="6"/>
      <c r="S41" s="6"/>
      <c r="T41" s="6"/>
      <c r="U41" s="6"/>
      <c r="V41" s="6"/>
      <c r="W41" s="6"/>
      <c r="X41" s="6"/>
      <c r="Y41" s="6"/>
      <c r="Z41" s="6"/>
      <c r="AA41" s="45"/>
      <c r="AB41" s="6"/>
      <c r="AC41" s="6"/>
      <c r="AD41" s="6"/>
      <c r="AE41" s="7">
        <v>6.8558203783333331</v>
      </c>
      <c r="AF41" s="7"/>
      <c r="AG41" s="16">
        <f t="shared" si="1"/>
        <v>16.3</v>
      </c>
      <c r="AH41" s="17">
        <f t="shared" si="2"/>
        <v>22.3</v>
      </c>
      <c r="AI41" s="16">
        <f t="shared" si="3"/>
        <v>39</v>
      </c>
      <c r="AJ41" s="5" t="s">
        <v>136</v>
      </c>
      <c r="AK41" s="13"/>
      <c r="AL41" s="95"/>
      <c r="AM41" s="131">
        <v>3</v>
      </c>
      <c r="AN41" s="104">
        <v>3</v>
      </c>
      <c r="AO41" s="218">
        <v>0</v>
      </c>
      <c r="AP41" s="144"/>
      <c r="AQ41" s="145"/>
      <c r="AR41" s="219"/>
      <c r="AS41" s="97"/>
      <c r="AT41" s="165"/>
      <c r="AU41" s="220"/>
      <c r="AV41" s="222">
        <f t="shared" si="7"/>
        <v>0</v>
      </c>
    </row>
    <row r="42" spans="1:48" ht="18.75" customHeight="1" x14ac:dyDescent="0.3">
      <c r="A42" s="29">
        <v>8</v>
      </c>
      <c r="B42" s="125" t="s">
        <v>824</v>
      </c>
      <c r="C42" s="18" t="s">
        <v>63</v>
      </c>
      <c r="D42" s="19" t="s">
        <v>738</v>
      </c>
      <c r="E42" s="20" t="s">
        <v>735</v>
      </c>
      <c r="F42" s="6"/>
      <c r="G42" s="45"/>
      <c r="H42" s="6"/>
      <c r="I42" s="45"/>
      <c r="J42" s="6">
        <v>1</v>
      </c>
      <c r="K42" s="6"/>
      <c r="L42" s="45"/>
      <c r="M42" s="6"/>
      <c r="N42" s="6"/>
      <c r="O42" s="6"/>
      <c r="P42" s="45"/>
      <c r="Q42" s="6"/>
      <c r="R42" s="6"/>
      <c r="S42" s="6"/>
      <c r="T42" s="6"/>
      <c r="U42" s="6"/>
      <c r="V42" s="6"/>
      <c r="W42" s="6"/>
      <c r="X42" s="6"/>
      <c r="Y42" s="6"/>
      <c r="Z42" s="6"/>
      <c r="AA42" s="45"/>
      <c r="AB42" s="6"/>
      <c r="AC42" s="6"/>
      <c r="AD42" s="6"/>
      <c r="AE42" s="7">
        <v>6.8558203783333331</v>
      </c>
      <c r="AF42" s="7"/>
      <c r="AG42" s="16">
        <f t="shared" ref="AG42" si="29">ROUND((AE42*1.2*1.5+4)*10,0)/10</f>
        <v>16.3</v>
      </c>
      <c r="AH42" s="17">
        <f t="shared" ref="AH42" si="30">ROUND((AE42*1.2*1.5+10)*10,0)/10</f>
        <v>22.3</v>
      </c>
      <c r="AI42" s="16">
        <f t="shared" ref="AI42" si="31">ROUND(AH42/0.7*1.22,0)</f>
        <v>39</v>
      </c>
      <c r="AJ42" s="5" t="s">
        <v>136</v>
      </c>
      <c r="AK42" s="13"/>
      <c r="AL42" s="95"/>
      <c r="AM42" s="97"/>
      <c r="AN42" s="104"/>
      <c r="AO42" s="218"/>
      <c r="AP42" s="159">
        <v>3</v>
      </c>
      <c r="AQ42" s="145">
        <v>3</v>
      </c>
      <c r="AR42" s="219">
        <v>0</v>
      </c>
      <c r="AS42" s="97"/>
      <c r="AT42" s="165"/>
      <c r="AU42" s="220"/>
      <c r="AV42" s="222">
        <f t="shared" si="7"/>
        <v>0</v>
      </c>
    </row>
    <row r="43" spans="1:48" ht="18.75" customHeight="1" x14ac:dyDescent="0.3">
      <c r="A43" s="29">
        <v>8</v>
      </c>
      <c r="B43" s="125" t="s">
        <v>770</v>
      </c>
      <c r="C43" s="18" t="s">
        <v>737</v>
      </c>
      <c r="D43" s="19" t="s">
        <v>738</v>
      </c>
      <c r="E43" s="20" t="s">
        <v>735</v>
      </c>
      <c r="F43" s="6"/>
      <c r="G43" s="45"/>
      <c r="H43" s="6"/>
      <c r="I43" s="45"/>
      <c r="J43" s="6"/>
      <c r="K43" s="6"/>
      <c r="L43" s="45"/>
      <c r="M43" s="6"/>
      <c r="N43" s="6"/>
      <c r="O43" s="6"/>
      <c r="P43" s="45"/>
      <c r="Q43" s="6"/>
      <c r="R43" s="6"/>
      <c r="S43" s="6"/>
      <c r="T43" s="6"/>
      <c r="U43" s="6"/>
      <c r="V43" s="6"/>
      <c r="W43" s="6"/>
      <c r="X43" s="6"/>
      <c r="Y43" s="6">
        <v>1</v>
      </c>
      <c r="Z43" s="6"/>
      <c r="AA43" s="45"/>
      <c r="AB43" s="6"/>
      <c r="AC43" s="6"/>
      <c r="AD43" s="6"/>
      <c r="AE43" s="7">
        <v>6.8558203783333331</v>
      </c>
      <c r="AF43" s="7"/>
      <c r="AG43" s="16">
        <f t="shared" ref="AG43" si="32">ROUND((AE43*1.2*1.5+4)*10,0)/10</f>
        <v>16.3</v>
      </c>
      <c r="AH43" s="17">
        <f t="shared" ref="AH43" si="33">ROUND((AE43*1.2*1.5+10)*10,0)/10</f>
        <v>22.3</v>
      </c>
      <c r="AI43" s="16">
        <f t="shared" ref="AI43" si="34">ROUND(AH43/0.7*1.22,0)</f>
        <v>39</v>
      </c>
      <c r="AJ43" s="5" t="s">
        <v>136</v>
      </c>
      <c r="AK43" s="13"/>
      <c r="AL43" s="95"/>
      <c r="AM43" s="97"/>
      <c r="AN43" s="104"/>
      <c r="AO43" s="218"/>
      <c r="AP43" s="159">
        <v>3</v>
      </c>
      <c r="AQ43" s="145">
        <v>3</v>
      </c>
      <c r="AR43" s="219">
        <v>0</v>
      </c>
      <c r="AS43" s="97"/>
      <c r="AT43" s="165"/>
      <c r="AU43" s="220"/>
      <c r="AV43" s="222">
        <f t="shared" si="7"/>
        <v>0</v>
      </c>
    </row>
    <row r="44" spans="1:48" ht="18.75" customHeight="1" x14ac:dyDescent="0.3">
      <c r="A44" s="29">
        <v>8</v>
      </c>
      <c r="B44" s="125" t="s">
        <v>779</v>
      </c>
      <c r="C44" s="18" t="s">
        <v>737</v>
      </c>
      <c r="D44" s="19" t="s">
        <v>738</v>
      </c>
      <c r="E44" s="20" t="s">
        <v>735</v>
      </c>
      <c r="F44" s="6"/>
      <c r="G44" s="45"/>
      <c r="H44" s="6"/>
      <c r="I44" s="45"/>
      <c r="J44" s="6"/>
      <c r="K44" s="6"/>
      <c r="L44" s="45"/>
      <c r="M44" s="6"/>
      <c r="N44" s="6"/>
      <c r="O44" s="6"/>
      <c r="P44" s="45"/>
      <c r="Q44" s="6">
        <v>1</v>
      </c>
      <c r="R44" s="6"/>
      <c r="S44" s="6"/>
      <c r="T44" s="6"/>
      <c r="U44" s="6"/>
      <c r="V44" s="6"/>
      <c r="W44" s="6"/>
      <c r="X44" s="6"/>
      <c r="Y44" s="6"/>
      <c r="Z44" s="6"/>
      <c r="AA44" s="45"/>
      <c r="AB44" s="6"/>
      <c r="AC44" s="6"/>
      <c r="AD44" s="6"/>
      <c r="AE44" s="7">
        <v>6.8558203783333331</v>
      </c>
      <c r="AF44" s="7"/>
      <c r="AG44" s="16">
        <f t="shared" ref="AG44:AG49" si="35">ROUND((AE44*1.2*1.5+4)*10,0)/10</f>
        <v>16.3</v>
      </c>
      <c r="AH44" s="17">
        <f t="shared" ref="AH44:AH49" si="36">ROUND((AE44*1.2*1.5+10)*10,0)/10</f>
        <v>22.3</v>
      </c>
      <c r="AI44" s="16">
        <f t="shared" ref="AI44:AI49" si="37">ROUND(AH44/0.7*1.22,0)</f>
        <v>39</v>
      </c>
      <c r="AJ44" s="5" t="s">
        <v>136</v>
      </c>
      <c r="AK44" s="13"/>
      <c r="AL44" s="95"/>
      <c r="AM44" s="97"/>
      <c r="AN44" s="104"/>
      <c r="AO44" s="218"/>
      <c r="AP44" s="159">
        <v>3</v>
      </c>
      <c r="AQ44" s="145">
        <v>3</v>
      </c>
      <c r="AR44" s="219">
        <v>0</v>
      </c>
      <c r="AS44" s="131">
        <v>2</v>
      </c>
      <c r="AT44" s="165">
        <v>2</v>
      </c>
      <c r="AU44" s="220">
        <v>0</v>
      </c>
      <c r="AV44" s="222">
        <f t="shared" si="7"/>
        <v>0</v>
      </c>
    </row>
    <row r="45" spans="1:48" ht="18.75" customHeight="1" x14ac:dyDescent="0.3">
      <c r="A45" s="29">
        <v>8</v>
      </c>
      <c r="B45" s="125" t="s">
        <v>810</v>
      </c>
      <c r="C45" s="18" t="s">
        <v>737</v>
      </c>
      <c r="D45" s="19" t="s">
        <v>738</v>
      </c>
      <c r="E45" s="20" t="s">
        <v>735</v>
      </c>
      <c r="F45" s="6"/>
      <c r="G45" s="45"/>
      <c r="H45" s="6"/>
      <c r="I45" s="45"/>
      <c r="J45" s="6"/>
      <c r="K45" s="6"/>
      <c r="L45" s="45"/>
      <c r="M45" s="6"/>
      <c r="N45" s="6"/>
      <c r="O45" s="6"/>
      <c r="P45" s="45"/>
      <c r="Q45" s="6"/>
      <c r="R45" s="6"/>
      <c r="S45" s="6"/>
      <c r="T45" s="6"/>
      <c r="U45" s="6"/>
      <c r="V45" s="6"/>
      <c r="W45" s="6"/>
      <c r="X45" s="6"/>
      <c r="Y45" s="6"/>
      <c r="Z45" s="6"/>
      <c r="AA45" s="45"/>
      <c r="AB45" s="6">
        <v>1</v>
      </c>
      <c r="AC45" s="6"/>
      <c r="AD45" s="6"/>
      <c r="AE45" s="7">
        <v>6.8558203783333331</v>
      </c>
      <c r="AF45" s="7"/>
      <c r="AG45" s="16">
        <f t="shared" si="35"/>
        <v>16.3</v>
      </c>
      <c r="AH45" s="17">
        <f t="shared" si="36"/>
        <v>22.3</v>
      </c>
      <c r="AI45" s="16">
        <f t="shared" si="37"/>
        <v>39</v>
      </c>
      <c r="AJ45" s="5" t="s">
        <v>136</v>
      </c>
      <c r="AK45" s="13"/>
      <c r="AL45" s="95"/>
      <c r="AM45" s="97"/>
      <c r="AN45" s="104"/>
      <c r="AO45" s="218"/>
      <c r="AP45" s="159">
        <v>4</v>
      </c>
      <c r="AQ45" s="145">
        <v>4</v>
      </c>
      <c r="AR45" s="219">
        <v>0</v>
      </c>
      <c r="AS45" s="131">
        <v>2</v>
      </c>
      <c r="AT45" s="165">
        <v>2</v>
      </c>
      <c r="AU45" s="220">
        <v>0</v>
      </c>
      <c r="AV45" s="222">
        <f t="shared" si="7"/>
        <v>0</v>
      </c>
    </row>
    <row r="46" spans="1:48" ht="18.75" customHeight="1" x14ac:dyDescent="0.3">
      <c r="A46" s="147">
        <v>8</v>
      </c>
      <c r="B46" s="149" t="s">
        <v>883</v>
      </c>
      <c r="C46" s="18" t="s">
        <v>737</v>
      </c>
      <c r="D46" s="19" t="s">
        <v>738</v>
      </c>
      <c r="E46" s="20" t="s">
        <v>735</v>
      </c>
      <c r="F46" s="6"/>
      <c r="G46" s="45"/>
      <c r="H46" s="6"/>
      <c r="I46" s="45"/>
      <c r="J46" s="6"/>
      <c r="K46" s="6"/>
      <c r="L46" s="45"/>
      <c r="M46" s="6">
        <v>1</v>
      </c>
      <c r="N46" s="6"/>
      <c r="O46" s="6"/>
      <c r="P46" s="45"/>
      <c r="Q46" s="6"/>
      <c r="R46" s="6"/>
      <c r="S46" s="6"/>
      <c r="T46" s="6"/>
      <c r="U46" s="6"/>
      <c r="V46" s="6"/>
      <c r="W46" s="6"/>
      <c r="X46" s="6"/>
      <c r="Y46" s="6"/>
      <c r="Z46" s="6"/>
      <c r="AA46" s="45"/>
      <c r="AB46" s="6"/>
      <c r="AC46" s="6"/>
      <c r="AD46" s="6"/>
      <c r="AE46" s="7">
        <v>7.65</v>
      </c>
      <c r="AF46" s="7"/>
      <c r="AG46" s="16">
        <f t="shared" si="35"/>
        <v>17.8</v>
      </c>
      <c r="AH46" s="17">
        <f t="shared" si="36"/>
        <v>23.8</v>
      </c>
      <c r="AI46" s="16">
        <f t="shared" si="37"/>
        <v>41</v>
      </c>
      <c r="AJ46" s="5" t="s">
        <v>136</v>
      </c>
      <c r="AK46" s="13"/>
      <c r="AL46" s="95"/>
      <c r="AM46" s="97"/>
      <c r="AN46" s="104"/>
      <c r="AO46" s="218"/>
      <c r="AP46" s="144"/>
      <c r="AQ46" s="145"/>
      <c r="AR46" s="219"/>
      <c r="AS46" s="131">
        <v>6</v>
      </c>
      <c r="AT46" s="165">
        <v>6</v>
      </c>
      <c r="AU46" s="220">
        <v>0</v>
      </c>
      <c r="AV46" s="222">
        <f t="shared" si="7"/>
        <v>0</v>
      </c>
    </row>
    <row r="47" spans="1:48" ht="18.75" customHeight="1" x14ac:dyDescent="0.3">
      <c r="A47" s="147">
        <v>9</v>
      </c>
      <c r="B47" s="149" t="s">
        <v>908</v>
      </c>
      <c r="C47" s="18" t="s">
        <v>737</v>
      </c>
      <c r="D47" s="19" t="s">
        <v>738</v>
      </c>
      <c r="E47" s="20" t="s">
        <v>735</v>
      </c>
      <c r="F47" s="6"/>
      <c r="G47" s="45"/>
      <c r="H47" s="6"/>
      <c r="I47" s="45"/>
      <c r="J47" s="6"/>
      <c r="K47" s="6"/>
      <c r="L47" s="45"/>
      <c r="M47" s="6"/>
      <c r="N47" s="6"/>
      <c r="O47" s="6"/>
      <c r="P47" s="45">
        <v>1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45"/>
      <c r="AB47" s="6"/>
      <c r="AC47" s="6"/>
      <c r="AD47" s="6"/>
      <c r="AE47" s="7">
        <v>17.3</v>
      </c>
      <c r="AF47" s="7"/>
      <c r="AG47" s="16">
        <f t="shared" si="35"/>
        <v>35.1</v>
      </c>
      <c r="AH47" s="17">
        <f t="shared" si="36"/>
        <v>41.1</v>
      </c>
      <c r="AI47" s="16">
        <f t="shared" si="37"/>
        <v>72</v>
      </c>
      <c r="AJ47" s="5" t="s">
        <v>136</v>
      </c>
      <c r="AK47" s="13"/>
      <c r="AL47" s="95"/>
      <c r="AM47" s="97"/>
      <c r="AN47" s="104"/>
      <c r="AO47" s="218"/>
      <c r="AP47" s="144"/>
      <c r="AQ47" s="145"/>
      <c r="AR47" s="219"/>
      <c r="AS47" s="131">
        <v>4</v>
      </c>
      <c r="AT47" s="165">
        <v>4</v>
      </c>
      <c r="AU47" s="220">
        <v>0</v>
      </c>
      <c r="AV47" s="222">
        <f t="shared" si="7"/>
        <v>0</v>
      </c>
    </row>
    <row r="48" spans="1:48" ht="18.75" customHeight="1" x14ac:dyDescent="0.3">
      <c r="A48" s="147">
        <v>39</v>
      </c>
      <c r="B48" s="149" t="s">
        <v>903</v>
      </c>
      <c r="C48" s="18" t="s">
        <v>737</v>
      </c>
      <c r="D48" s="19" t="s">
        <v>738</v>
      </c>
      <c r="E48" s="20" t="s">
        <v>735</v>
      </c>
      <c r="F48" s="6"/>
      <c r="G48" s="45"/>
      <c r="H48" s="6"/>
      <c r="I48" s="45"/>
      <c r="J48" s="6"/>
      <c r="K48" s="6"/>
      <c r="L48" s="45"/>
      <c r="M48" s="6"/>
      <c r="N48" s="6"/>
      <c r="O48" s="6">
        <v>1</v>
      </c>
      <c r="P48" s="45"/>
      <c r="Q48" s="6"/>
      <c r="R48" s="6"/>
      <c r="S48" s="6"/>
      <c r="T48" s="6"/>
      <c r="U48" s="6"/>
      <c r="V48" s="6"/>
      <c r="W48" s="6"/>
      <c r="X48" s="6"/>
      <c r="Y48" s="6"/>
      <c r="Z48" s="6"/>
      <c r="AA48" s="45"/>
      <c r="AB48" s="6"/>
      <c r="AC48" s="6"/>
      <c r="AD48" s="6"/>
      <c r="AE48" s="7">
        <v>16.100000000000001</v>
      </c>
      <c r="AF48" s="7"/>
      <c r="AG48" s="16">
        <f t="shared" si="35"/>
        <v>33</v>
      </c>
      <c r="AH48" s="17">
        <f t="shared" si="36"/>
        <v>39</v>
      </c>
      <c r="AI48" s="16">
        <f t="shared" si="37"/>
        <v>68</v>
      </c>
      <c r="AJ48" s="5" t="s">
        <v>136</v>
      </c>
      <c r="AK48" s="13"/>
      <c r="AL48" s="95"/>
      <c r="AM48" s="97"/>
      <c r="AN48" s="104"/>
      <c r="AO48" s="218"/>
      <c r="AP48" s="144"/>
      <c r="AQ48" s="145"/>
      <c r="AR48" s="219"/>
      <c r="AS48" s="131">
        <v>4</v>
      </c>
      <c r="AT48" s="165">
        <v>4</v>
      </c>
      <c r="AU48" s="220">
        <v>0</v>
      </c>
      <c r="AV48" s="222">
        <f t="shared" si="7"/>
        <v>0</v>
      </c>
    </row>
    <row r="49" spans="1:48" ht="18.75" customHeight="1" x14ac:dyDescent="0.3">
      <c r="A49" s="29">
        <v>9</v>
      </c>
      <c r="B49" s="125" t="s">
        <v>826</v>
      </c>
      <c r="C49" s="18" t="s">
        <v>63</v>
      </c>
      <c r="D49" s="19" t="s">
        <v>64</v>
      </c>
      <c r="E49" s="20" t="s">
        <v>735</v>
      </c>
      <c r="F49" s="6"/>
      <c r="G49" s="45"/>
      <c r="H49" s="6"/>
      <c r="I49" s="45"/>
      <c r="J49" s="6"/>
      <c r="K49" s="6"/>
      <c r="L49" s="45"/>
      <c r="M49" s="6"/>
      <c r="N49" s="6"/>
      <c r="O49" s="6"/>
      <c r="P49" s="45"/>
      <c r="Q49" s="6"/>
      <c r="R49" s="6"/>
      <c r="S49" s="6"/>
      <c r="T49" s="6"/>
      <c r="U49" s="6"/>
      <c r="V49" s="6">
        <v>1</v>
      </c>
      <c r="W49" s="6"/>
      <c r="X49" s="6"/>
      <c r="Y49" s="6"/>
      <c r="Z49" s="6"/>
      <c r="AA49" s="45"/>
      <c r="AB49" s="6"/>
      <c r="AC49" s="6"/>
      <c r="AD49" s="6"/>
      <c r="AE49" s="7">
        <v>15.95</v>
      </c>
      <c r="AF49" s="7"/>
      <c r="AG49" s="16">
        <f t="shared" si="35"/>
        <v>32.700000000000003</v>
      </c>
      <c r="AH49" s="17">
        <f t="shared" si="36"/>
        <v>38.700000000000003</v>
      </c>
      <c r="AI49" s="16">
        <f t="shared" si="37"/>
        <v>67</v>
      </c>
      <c r="AJ49" s="5" t="s">
        <v>136</v>
      </c>
      <c r="AK49" s="13"/>
      <c r="AL49" s="95"/>
      <c r="AM49" s="97"/>
      <c r="AN49" s="104"/>
      <c r="AO49" s="218"/>
      <c r="AP49" s="159">
        <v>3</v>
      </c>
      <c r="AQ49" s="145">
        <v>3</v>
      </c>
      <c r="AR49" s="219">
        <v>0</v>
      </c>
      <c r="AS49" s="97"/>
      <c r="AT49" s="165"/>
      <c r="AU49" s="220"/>
      <c r="AV49" s="222">
        <f t="shared" si="7"/>
        <v>0</v>
      </c>
    </row>
    <row r="50" spans="1:48" ht="18.75" customHeight="1" x14ac:dyDescent="0.3">
      <c r="A50" s="30">
        <v>11</v>
      </c>
      <c r="B50" s="26" t="s">
        <v>31</v>
      </c>
      <c r="C50" s="18" t="s">
        <v>75</v>
      </c>
      <c r="D50" s="19" t="s">
        <v>76</v>
      </c>
      <c r="E50" s="20" t="s">
        <v>109</v>
      </c>
      <c r="F50" s="6">
        <v>1</v>
      </c>
      <c r="G50" s="45">
        <v>1</v>
      </c>
      <c r="H50" s="6">
        <v>1</v>
      </c>
      <c r="I50" s="45">
        <v>1</v>
      </c>
      <c r="J50" s="6">
        <v>1</v>
      </c>
      <c r="K50" s="6">
        <v>1</v>
      </c>
      <c r="L50" s="45">
        <v>1</v>
      </c>
      <c r="M50" s="6">
        <v>1</v>
      </c>
      <c r="N50" s="6">
        <v>1</v>
      </c>
      <c r="O50" s="6"/>
      <c r="P50" s="45"/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/>
      <c r="W50" s="6">
        <v>1</v>
      </c>
      <c r="X50" s="6"/>
      <c r="Y50" s="6">
        <v>1</v>
      </c>
      <c r="Z50" s="6">
        <v>1</v>
      </c>
      <c r="AA50" s="45">
        <v>1</v>
      </c>
      <c r="AB50" s="6">
        <v>1</v>
      </c>
      <c r="AC50" s="6">
        <v>1</v>
      </c>
      <c r="AD50" s="6">
        <v>1</v>
      </c>
      <c r="AE50" s="7">
        <v>0.15</v>
      </c>
      <c r="AF50" s="7"/>
      <c r="AG50" s="16">
        <f t="shared" si="1"/>
        <v>4.3</v>
      </c>
      <c r="AH50" s="17">
        <f t="shared" si="2"/>
        <v>10.3</v>
      </c>
      <c r="AI50" s="16">
        <f t="shared" si="3"/>
        <v>18</v>
      </c>
      <c r="AJ50" s="5" t="s">
        <v>1</v>
      </c>
      <c r="AK50" s="13"/>
      <c r="AL50" s="95"/>
      <c r="AM50" s="131">
        <v>10</v>
      </c>
      <c r="AN50" s="104">
        <v>10</v>
      </c>
      <c r="AO50" s="218">
        <v>0</v>
      </c>
      <c r="AP50" s="159">
        <v>30</v>
      </c>
      <c r="AQ50" s="145">
        <v>30</v>
      </c>
      <c r="AR50" s="219">
        <v>0</v>
      </c>
      <c r="AS50" s="131">
        <v>20</v>
      </c>
      <c r="AT50" s="165">
        <v>20</v>
      </c>
      <c r="AU50" s="220">
        <v>0</v>
      </c>
      <c r="AV50" s="222">
        <f t="shared" si="7"/>
        <v>0</v>
      </c>
    </row>
    <row r="51" spans="1:48" ht="18.75" customHeight="1" x14ac:dyDescent="0.3">
      <c r="A51" s="30">
        <v>17</v>
      </c>
      <c r="B51" s="26" t="s">
        <v>36</v>
      </c>
      <c r="C51" s="18" t="s">
        <v>75</v>
      </c>
      <c r="D51" s="19" t="s">
        <v>76</v>
      </c>
      <c r="E51" s="20" t="s">
        <v>104</v>
      </c>
      <c r="F51" s="6">
        <v>2</v>
      </c>
      <c r="G51" s="45">
        <v>2</v>
      </c>
      <c r="H51" s="6">
        <v>2</v>
      </c>
      <c r="I51" s="45">
        <v>3</v>
      </c>
      <c r="J51" s="6">
        <v>2</v>
      </c>
      <c r="K51" s="6">
        <v>2</v>
      </c>
      <c r="L51" s="45">
        <v>3</v>
      </c>
      <c r="M51" s="6">
        <v>2</v>
      </c>
      <c r="N51" s="6">
        <v>2</v>
      </c>
      <c r="O51" s="6">
        <v>3</v>
      </c>
      <c r="P51" s="45">
        <v>2</v>
      </c>
      <c r="Q51" s="6">
        <v>2</v>
      </c>
      <c r="R51" s="6">
        <v>2</v>
      </c>
      <c r="S51" s="6">
        <v>2</v>
      </c>
      <c r="T51" s="6">
        <v>3</v>
      </c>
      <c r="U51" s="6">
        <v>3</v>
      </c>
      <c r="V51" s="6">
        <v>2</v>
      </c>
      <c r="W51" s="6">
        <v>1</v>
      </c>
      <c r="X51" s="6">
        <v>3</v>
      </c>
      <c r="Y51" s="6">
        <v>2</v>
      </c>
      <c r="Z51" s="6">
        <v>2</v>
      </c>
      <c r="AA51" s="45">
        <v>3</v>
      </c>
      <c r="AB51" s="6">
        <v>2</v>
      </c>
      <c r="AC51" s="6">
        <v>2</v>
      </c>
      <c r="AD51" s="6">
        <v>3</v>
      </c>
      <c r="AE51" s="7">
        <v>0.23</v>
      </c>
      <c r="AF51" s="180">
        <v>1.3000000000000001E-2</v>
      </c>
      <c r="AG51" s="16">
        <f t="shared" si="1"/>
        <v>4.4000000000000004</v>
      </c>
      <c r="AH51" s="17">
        <f t="shared" si="2"/>
        <v>10.4</v>
      </c>
      <c r="AI51" s="16">
        <f t="shared" si="3"/>
        <v>18</v>
      </c>
      <c r="AJ51" s="5" t="s">
        <v>1</v>
      </c>
      <c r="AK51" s="13"/>
      <c r="AL51" s="95"/>
      <c r="AM51" s="131">
        <v>20</v>
      </c>
      <c r="AN51" s="104">
        <v>20</v>
      </c>
      <c r="AO51" s="218">
        <v>0</v>
      </c>
      <c r="AP51" s="159">
        <v>50</v>
      </c>
      <c r="AQ51" s="145">
        <v>50</v>
      </c>
      <c r="AR51" s="219">
        <v>0</v>
      </c>
      <c r="AS51" s="131">
        <v>20</v>
      </c>
      <c r="AT51" s="165">
        <v>20</v>
      </c>
      <c r="AU51" s="220">
        <v>0</v>
      </c>
      <c r="AV51" s="222">
        <f t="shared" si="7"/>
        <v>0</v>
      </c>
    </row>
    <row r="52" spans="1:48" ht="18.75" customHeight="1" x14ac:dyDescent="0.3">
      <c r="A52" s="29">
        <v>22</v>
      </c>
      <c r="B52" s="125" t="s">
        <v>790</v>
      </c>
      <c r="C52" s="18" t="s">
        <v>75</v>
      </c>
      <c r="D52" s="19" t="s">
        <v>76</v>
      </c>
      <c r="E52" s="20" t="s">
        <v>791</v>
      </c>
      <c r="F52" s="6"/>
      <c r="G52" s="45"/>
      <c r="H52" s="6"/>
      <c r="I52" s="45"/>
      <c r="J52" s="6"/>
      <c r="K52" s="6"/>
      <c r="L52" s="45"/>
      <c r="M52" s="6"/>
      <c r="N52" s="6"/>
      <c r="O52" s="6"/>
      <c r="P52" s="45">
        <v>1</v>
      </c>
      <c r="Q52" s="6"/>
      <c r="R52" s="6"/>
      <c r="S52" s="6"/>
      <c r="T52" s="6"/>
      <c r="U52" s="6"/>
      <c r="V52" s="6">
        <v>1</v>
      </c>
      <c r="W52" s="6"/>
      <c r="X52" s="6"/>
      <c r="Y52" s="6"/>
      <c r="Z52" s="6"/>
      <c r="AA52" s="45"/>
      <c r="AB52" s="6"/>
      <c r="AC52" s="6"/>
      <c r="AD52" s="6"/>
      <c r="AE52" s="7">
        <v>0.16</v>
      </c>
      <c r="AF52" s="7"/>
      <c r="AG52" s="16">
        <f t="shared" si="1"/>
        <v>4.3</v>
      </c>
      <c r="AH52" s="17">
        <f t="shared" si="2"/>
        <v>10.3</v>
      </c>
      <c r="AI52" s="16">
        <f t="shared" si="3"/>
        <v>18</v>
      </c>
      <c r="AJ52" s="5" t="s">
        <v>1</v>
      </c>
      <c r="AK52" s="13"/>
      <c r="AL52" s="95"/>
      <c r="AM52" s="97"/>
      <c r="AN52" s="104"/>
      <c r="AO52" s="218"/>
      <c r="AP52" s="159">
        <v>10</v>
      </c>
      <c r="AQ52" s="145">
        <v>10</v>
      </c>
      <c r="AR52" s="219">
        <v>0</v>
      </c>
      <c r="AS52" s="97"/>
      <c r="AT52" s="165"/>
      <c r="AU52" s="220"/>
      <c r="AV52" s="222">
        <f t="shared" si="7"/>
        <v>0</v>
      </c>
    </row>
    <row r="53" spans="1:48" ht="18.75" customHeight="1" x14ac:dyDescent="0.3">
      <c r="A53" s="29">
        <v>39</v>
      </c>
      <c r="B53" s="125" t="s">
        <v>792</v>
      </c>
      <c r="C53" s="18" t="s">
        <v>75</v>
      </c>
      <c r="D53" s="19" t="s">
        <v>76</v>
      </c>
      <c r="E53" s="20" t="s">
        <v>793</v>
      </c>
      <c r="F53" s="6"/>
      <c r="G53" s="45"/>
      <c r="H53" s="6"/>
      <c r="I53" s="45"/>
      <c r="J53" s="6"/>
      <c r="K53" s="6"/>
      <c r="L53" s="45"/>
      <c r="M53" s="6"/>
      <c r="N53" s="6"/>
      <c r="O53" s="6">
        <v>1</v>
      </c>
      <c r="P53" s="45">
        <v>2</v>
      </c>
      <c r="Q53" s="6"/>
      <c r="R53" s="6"/>
      <c r="S53" s="6"/>
      <c r="T53" s="6"/>
      <c r="U53" s="6"/>
      <c r="V53" s="6">
        <v>2</v>
      </c>
      <c r="W53" s="6"/>
      <c r="X53" s="6">
        <v>1</v>
      </c>
      <c r="Y53" s="6"/>
      <c r="Z53" s="6"/>
      <c r="AA53" s="45"/>
      <c r="AB53" s="6"/>
      <c r="AC53" s="6"/>
      <c r="AD53" s="6"/>
      <c r="AE53" s="7">
        <v>0.23</v>
      </c>
      <c r="AF53" s="180">
        <v>0.312</v>
      </c>
      <c r="AG53" s="16">
        <f t="shared" si="1"/>
        <v>4.4000000000000004</v>
      </c>
      <c r="AH53" s="17">
        <f t="shared" si="2"/>
        <v>10.4</v>
      </c>
      <c r="AI53" s="16">
        <f t="shared" si="3"/>
        <v>18</v>
      </c>
      <c r="AJ53" s="5" t="s">
        <v>1</v>
      </c>
      <c r="AK53" s="13"/>
      <c r="AL53" s="95"/>
      <c r="AM53" s="97"/>
      <c r="AN53" s="104"/>
      <c r="AO53" s="218"/>
      <c r="AP53" s="159">
        <v>10</v>
      </c>
      <c r="AQ53" s="145">
        <v>10</v>
      </c>
      <c r="AR53" s="219">
        <v>0</v>
      </c>
      <c r="AS53" s="97"/>
      <c r="AT53" s="165"/>
      <c r="AU53" s="220"/>
      <c r="AV53" s="222">
        <f t="shared" si="7"/>
        <v>0</v>
      </c>
    </row>
    <row r="54" spans="1:48" ht="18.75" customHeight="1" x14ac:dyDescent="0.3">
      <c r="A54" s="30">
        <v>22</v>
      </c>
      <c r="B54" s="24" t="s">
        <v>40</v>
      </c>
      <c r="C54" s="18" t="s">
        <v>85</v>
      </c>
      <c r="D54" s="19" t="s">
        <v>86</v>
      </c>
      <c r="E54" s="20" t="s">
        <v>113</v>
      </c>
      <c r="F54" s="6">
        <v>1</v>
      </c>
      <c r="G54" s="45">
        <v>1</v>
      </c>
      <c r="H54" s="6"/>
      <c r="I54" s="45"/>
      <c r="J54" s="6"/>
      <c r="K54" s="6"/>
      <c r="L54" s="45"/>
      <c r="M54" s="6"/>
      <c r="N54" s="6"/>
      <c r="O54" s="6"/>
      <c r="P54" s="45"/>
      <c r="Q54" s="6"/>
      <c r="R54" s="6"/>
      <c r="S54" s="6"/>
      <c r="T54" s="6"/>
      <c r="U54" s="6"/>
      <c r="V54" s="6"/>
      <c r="W54" s="6"/>
      <c r="X54" s="6"/>
      <c r="Y54" s="6"/>
      <c r="Z54" s="6"/>
      <c r="AA54" s="45"/>
      <c r="AB54" s="6"/>
      <c r="AC54" s="6"/>
      <c r="AD54" s="6"/>
      <c r="AE54" s="7">
        <v>1.4949999999999999</v>
      </c>
      <c r="AF54" s="7"/>
      <c r="AG54" s="16">
        <f t="shared" si="1"/>
        <v>6.7</v>
      </c>
      <c r="AH54" s="17">
        <f t="shared" si="2"/>
        <v>12.7</v>
      </c>
      <c r="AI54" s="16">
        <f t="shared" si="3"/>
        <v>22</v>
      </c>
      <c r="AJ54" s="5" t="s">
        <v>1</v>
      </c>
      <c r="AK54" s="13"/>
      <c r="AL54" s="95"/>
      <c r="AM54" s="131">
        <v>6</v>
      </c>
      <c r="AN54" s="104">
        <v>6</v>
      </c>
      <c r="AO54" s="218">
        <v>0</v>
      </c>
      <c r="AP54" s="144"/>
      <c r="AQ54" s="145"/>
      <c r="AR54" s="219"/>
      <c r="AS54" s="97"/>
      <c r="AT54" s="165"/>
      <c r="AU54" s="220"/>
      <c r="AV54" s="222">
        <f t="shared" si="7"/>
        <v>0</v>
      </c>
    </row>
    <row r="55" spans="1:48" ht="18.75" customHeight="1" x14ac:dyDescent="0.3">
      <c r="A55" s="30">
        <v>17</v>
      </c>
      <c r="B55" s="125" t="s">
        <v>722</v>
      </c>
      <c r="C55" s="18" t="s">
        <v>85</v>
      </c>
      <c r="D55" s="19" t="s">
        <v>86</v>
      </c>
      <c r="E55" s="20" t="s">
        <v>113</v>
      </c>
      <c r="F55" s="6"/>
      <c r="G55" s="45"/>
      <c r="H55" s="6">
        <v>1</v>
      </c>
      <c r="I55" s="45"/>
      <c r="J55" s="6">
        <v>1</v>
      </c>
      <c r="K55" s="6">
        <v>1</v>
      </c>
      <c r="L55" s="45"/>
      <c r="M55" s="6">
        <v>1</v>
      </c>
      <c r="N55" s="6">
        <v>1</v>
      </c>
      <c r="O55" s="6"/>
      <c r="P55" s="45"/>
      <c r="Q55" s="6">
        <v>1</v>
      </c>
      <c r="R55" s="6">
        <v>1</v>
      </c>
      <c r="S55" s="6">
        <v>1</v>
      </c>
      <c r="T55" s="6"/>
      <c r="U55" s="6"/>
      <c r="V55" s="6"/>
      <c r="W55" s="6"/>
      <c r="X55" s="6"/>
      <c r="Y55" s="6">
        <v>1</v>
      </c>
      <c r="Z55" s="6">
        <v>1</v>
      </c>
      <c r="AA55" s="45"/>
      <c r="AB55" s="6">
        <v>1</v>
      </c>
      <c r="AC55" s="6">
        <v>1</v>
      </c>
      <c r="AD55" s="6"/>
      <c r="AE55" s="7">
        <v>1.42</v>
      </c>
      <c r="AF55" s="7"/>
      <c r="AG55" s="16">
        <f t="shared" si="1"/>
        <v>6.6</v>
      </c>
      <c r="AH55" s="17">
        <f t="shared" si="2"/>
        <v>12.6</v>
      </c>
      <c r="AI55" s="16">
        <f t="shared" si="3"/>
        <v>22</v>
      </c>
      <c r="AJ55" s="5" t="s">
        <v>1</v>
      </c>
      <c r="AK55" s="13"/>
      <c r="AL55" s="95"/>
      <c r="AM55" s="97"/>
      <c r="AN55" s="104"/>
      <c r="AO55" s="218"/>
      <c r="AP55" s="159">
        <v>20</v>
      </c>
      <c r="AQ55" s="145">
        <v>20</v>
      </c>
      <c r="AR55" s="219">
        <v>0</v>
      </c>
      <c r="AS55" s="131">
        <v>5</v>
      </c>
      <c r="AT55" s="165">
        <v>5</v>
      </c>
      <c r="AU55" s="220">
        <v>0</v>
      </c>
      <c r="AV55" s="222">
        <f t="shared" si="7"/>
        <v>0</v>
      </c>
    </row>
    <row r="56" spans="1:48" ht="18.75" customHeight="1" x14ac:dyDescent="0.3">
      <c r="A56" s="29">
        <v>42</v>
      </c>
      <c r="B56" s="125" t="s">
        <v>762</v>
      </c>
      <c r="C56" s="18" t="s">
        <v>85</v>
      </c>
      <c r="D56" s="19" t="s">
        <v>86</v>
      </c>
      <c r="E56" s="20" t="s">
        <v>113</v>
      </c>
      <c r="F56" s="6"/>
      <c r="G56" s="45"/>
      <c r="H56" s="6"/>
      <c r="I56" s="45">
        <v>1</v>
      </c>
      <c r="J56" s="6"/>
      <c r="K56" s="6"/>
      <c r="L56" s="45">
        <v>1</v>
      </c>
      <c r="M56" s="6"/>
      <c r="N56" s="6"/>
      <c r="O56" s="6">
        <v>1</v>
      </c>
      <c r="P56" s="45">
        <v>1</v>
      </c>
      <c r="Q56" s="6"/>
      <c r="R56" s="6"/>
      <c r="S56" s="6"/>
      <c r="T56" s="6">
        <v>1</v>
      </c>
      <c r="U56" s="6">
        <v>1</v>
      </c>
      <c r="V56" s="6">
        <v>1</v>
      </c>
      <c r="W56" s="6"/>
      <c r="X56" s="6">
        <v>1</v>
      </c>
      <c r="Y56" s="6"/>
      <c r="Z56" s="6"/>
      <c r="AA56" s="45">
        <v>1</v>
      </c>
      <c r="AB56" s="6"/>
      <c r="AC56" s="6"/>
      <c r="AD56" s="6">
        <v>1</v>
      </c>
      <c r="AE56" s="7">
        <v>1.9</v>
      </c>
      <c r="AF56" s="180">
        <v>2.6909999999999998</v>
      </c>
      <c r="AG56" s="16">
        <f t="shared" si="1"/>
        <v>7.4</v>
      </c>
      <c r="AH56" s="17">
        <f t="shared" si="2"/>
        <v>13.4</v>
      </c>
      <c r="AI56" s="16">
        <f t="shared" si="3"/>
        <v>23</v>
      </c>
      <c r="AJ56" s="5" t="s">
        <v>1</v>
      </c>
      <c r="AK56" s="13"/>
      <c r="AL56" s="95"/>
      <c r="AM56" s="97"/>
      <c r="AN56" s="104"/>
      <c r="AO56" s="218"/>
      <c r="AP56" s="159">
        <v>10</v>
      </c>
      <c r="AQ56" s="145">
        <v>10</v>
      </c>
      <c r="AR56" s="219">
        <v>0</v>
      </c>
      <c r="AS56" s="131">
        <v>4</v>
      </c>
      <c r="AT56" s="165">
        <v>4</v>
      </c>
      <c r="AU56" s="220">
        <v>0</v>
      </c>
      <c r="AV56" s="222">
        <f t="shared" si="7"/>
        <v>0</v>
      </c>
    </row>
    <row r="57" spans="1:48" ht="18.75" customHeight="1" x14ac:dyDescent="0.3">
      <c r="A57" s="29">
        <v>23</v>
      </c>
      <c r="B57" s="27" t="s">
        <v>41</v>
      </c>
      <c r="C57" s="18" t="s">
        <v>87</v>
      </c>
      <c r="D57" s="19" t="s">
        <v>88</v>
      </c>
      <c r="E57" s="20" t="s">
        <v>114</v>
      </c>
      <c r="F57" s="6">
        <v>1</v>
      </c>
      <c r="G57" s="45">
        <v>1</v>
      </c>
      <c r="H57" s="6">
        <v>1</v>
      </c>
      <c r="I57" s="45">
        <v>1</v>
      </c>
      <c r="J57" s="6"/>
      <c r="K57" s="6">
        <v>1</v>
      </c>
      <c r="L57" s="45">
        <v>1</v>
      </c>
      <c r="M57" s="6"/>
      <c r="N57" s="6">
        <v>1</v>
      </c>
      <c r="O57" s="6">
        <v>1</v>
      </c>
      <c r="P57" s="45">
        <v>1</v>
      </c>
      <c r="Q57" s="6"/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/>
      <c r="X57" s="6">
        <v>1</v>
      </c>
      <c r="Y57" s="6"/>
      <c r="Z57" s="6">
        <v>1</v>
      </c>
      <c r="AA57" s="45">
        <v>1</v>
      </c>
      <c r="AB57" s="6"/>
      <c r="AC57" s="6">
        <v>1</v>
      </c>
      <c r="AD57" s="6">
        <v>1</v>
      </c>
      <c r="AE57" s="7">
        <v>1.6</v>
      </c>
      <c r="AF57" s="180">
        <v>2.6909999999999998</v>
      </c>
      <c r="AG57" s="16">
        <f t="shared" si="1"/>
        <v>6.9</v>
      </c>
      <c r="AH57" s="17">
        <f t="shared" si="2"/>
        <v>12.9</v>
      </c>
      <c r="AI57" s="16">
        <f t="shared" si="3"/>
        <v>22</v>
      </c>
      <c r="AJ57" s="5" t="s">
        <v>1</v>
      </c>
      <c r="AK57" s="13"/>
      <c r="AL57" s="95"/>
      <c r="AM57" s="131">
        <v>4</v>
      </c>
      <c r="AN57" s="104">
        <v>4</v>
      </c>
      <c r="AO57" s="218">
        <v>0</v>
      </c>
      <c r="AP57" s="159">
        <v>10</v>
      </c>
      <c r="AQ57" s="145">
        <v>10</v>
      </c>
      <c r="AR57" s="219">
        <v>0</v>
      </c>
      <c r="AS57" s="97"/>
      <c r="AT57" s="165"/>
      <c r="AU57" s="220"/>
      <c r="AV57" s="222">
        <f t="shared" si="7"/>
        <v>0</v>
      </c>
    </row>
    <row r="58" spans="1:48" ht="18.75" customHeight="1" x14ac:dyDescent="0.3">
      <c r="A58" s="30">
        <v>25</v>
      </c>
      <c r="B58" s="26" t="s">
        <v>43</v>
      </c>
      <c r="C58" s="18" t="s">
        <v>75</v>
      </c>
      <c r="D58" s="19" t="s">
        <v>76</v>
      </c>
      <c r="E58" s="20" t="s">
        <v>115</v>
      </c>
      <c r="F58" s="6">
        <v>1</v>
      </c>
      <c r="G58" s="45">
        <v>1</v>
      </c>
      <c r="H58" s="6">
        <v>1</v>
      </c>
      <c r="I58" s="45">
        <v>1</v>
      </c>
      <c r="J58" s="6">
        <v>1</v>
      </c>
      <c r="K58" s="6">
        <v>1</v>
      </c>
      <c r="L58" s="45">
        <v>1</v>
      </c>
      <c r="M58" s="6">
        <v>1</v>
      </c>
      <c r="N58" s="6">
        <v>1</v>
      </c>
      <c r="O58" s="6">
        <v>1</v>
      </c>
      <c r="P58" s="45"/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/>
      <c r="W58" s="6"/>
      <c r="X58" s="6">
        <v>1</v>
      </c>
      <c r="Y58" s="6">
        <v>1</v>
      </c>
      <c r="Z58" s="6">
        <v>1</v>
      </c>
      <c r="AA58" s="45">
        <v>1</v>
      </c>
      <c r="AB58" s="6">
        <v>1</v>
      </c>
      <c r="AC58" s="6">
        <v>1</v>
      </c>
      <c r="AD58" s="6">
        <v>1</v>
      </c>
      <c r="AE58" s="7">
        <v>0.31</v>
      </c>
      <c r="AF58" s="180">
        <v>0.71500000000000008</v>
      </c>
      <c r="AG58" s="16">
        <f t="shared" si="1"/>
        <v>4.5999999999999996</v>
      </c>
      <c r="AH58" s="17">
        <f t="shared" si="2"/>
        <v>10.6</v>
      </c>
      <c r="AI58" s="16">
        <f t="shared" si="3"/>
        <v>18</v>
      </c>
      <c r="AJ58" s="5" t="s">
        <v>1</v>
      </c>
      <c r="AK58" s="13"/>
      <c r="AL58" s="95"/>
      <c r="AM58" s="131">
        <v>10</v>
      </c>
      <c r="AN58" s="104">
        <v>10</v>
      </c>
      <c r="AO58" s="218">
        <v>0</v>
      </c>
      <c r="AP58" s="159">
        <v>10</v>
      </c>
      <c r="AQ58" s="145">
        <v>10</v>
      </c>
      <c r="AR58" s="219">
        <v>0</v>
      </c>
      <c r="AS58" s="131">
        <v>10</v>
      </c>
      <c r="AT58" s="165">
        <v>10</v>
      </c>
      <c r="AU58" s="220">
        <v>0</v>
      </c>
      <c r="AV58" s="222">
        <f t="shared" si="7"/>
        <v>0</v>
      </c>
    </row>
    <row r="59" spans="1:48" ht="18.75" customHeight="1" x14ac:dyDescent="0.3">
      <c r="A59" s="29">
        <v>36</v>
      </c>
      <c r="B59" s="26" t="s">
        <v>52</v>
      </c>
      <c r="C59" s="18" t="s">
        <v>6</v>
      </c>
      <c r="D59" s="19" t="s">
        <v>7</v>
      </c>
      <c r="E59" s="20" t="s">
        <v>125</v>
      </c>
      <c r="F59" s="6">
        <v>1</v>
      </c>
      <c r="G59" s="45">
        <v>1</v>
      </c>
      <c r="H59" s="6">
        <v>1</v>
      </c>
      <c r="I59" s="45">
        <v>1</v>
      </c>
      <c r="J59" s="6"/>
      <c r="K59" s="6">
        <v>1</v>
      </c>
      <c r="L59" s="45">
        <v>1</v>
      </c>
      <c r="M59" s="6">
        <v>1</v>
      </c>
      <c r="N59" s="6">
        <v>1</v>
      </c>
      <c r="O59" s="6">
        <v>1</v>
      </c>
      <c r="P59" s="45">
        <v>1</v>
      </c>
      <c r="Q59" s="6"/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/>
      <c r="X59" s="6">
        <v>1</v>
      </c>
      <c r="Y59" s="6"/>
      <c r="Z59" s="6">
        <v>1</v>
      </c>
      <c r="AA59" s="45">
        <v>1</v>
      </c>
      <c r="AB59" s="6"/>
      <c r="AC59" s="6">
        <v>1</v>
      </c>
      <c r="AD59" s="6">
        <v>1</v>
      </c>
      <c r="AE59" s="7">
        <v>0.38</v>
      </c>
      <c r="AF59" s="180">
        <v>0.11699999999999999</v>
      </c>
      <c r="AG59" s="16">
        <f t="shared" si="1"/>
        <v>4.7</v>
      </c>
      <c r="AH59" s="17">
        <f t="shared" si="2"/>
        <v>10.7</v>
      </c>
      <c r="AI59" s="16">
        <f t="shared" si="3"/>
        <v>19</v>
      </c>
      <c r="AJ59" s="5" t="s">
        <v>1</v>
      </c>
      <c r="AK59" s="13"/>
      <c r="AL59" s="95"/>
      <c r="AM59" s="131">
        <v>6</v>
      </c>
      <c r="AN59" s="104">
        <v>6</v>
      </c>
      <c r="AO59" s="218">
        <v>0</v>
      </c>
      <c r="AP59" s="159">
        <v>10</v>
      </c>
      <c r="AQ59" s="145">
        <v>10</v>
      </c>
      <c r="AR59" s="219">
        <v>0</v>
      </c>
      <c r="AS59" s="97"/>
      <c r="AT59" s="165"/>
      <c r="AU59" s="220"/>
      <c r="AV59" s="222">
        <f t="shared" si="7"/>
        <v>0</v>
      </c>
    </row>
    <row r="60" spans="1:48" ht="18.75" customHeight="1" x14ac:dyDescent="0.3">
      <c r="A60" s="29" t="s">
        <v>764</v>
      </c>
      <c r="B60" s="126" t="s">
        <v>763</v>
      </c>
      <c r="C60" s="18" t="s">
        <v>95</v>
      </c>
      <c r="D60" s="19" t="s">
        <v>96</v>
      </c>
      <c r="E60" s="20" t="s">
        <v>126</v>
      </c>
      <c r="F60" s="6"/>
      <c r="G60" s="45"/>
      <c r="H60" s="6"/>
      <c r="I60" s="45">
        <v>1</v>
      </c>
      <c r="J60" s="6"/>
      <c r="K60" s="6"/>
      <c r="L60" s="45">
        <v>1</v>
      </c>
      <c r="M60" s="6"/>
      <c r="N60" s="6"/>
      <c r="O60" s="6">
        <v>1</v>
      </c>
      <c r="P60" s="45">
        <v>1</v>
      </c>
      <c r="Q60" s="6"/>
      <c r="R60" s="6"/>
      <c r="S60" s="6"/>
      <c r="T60" s="6">
        <v>1</v>
      </c>
      <c r="U60" s="6">
        <v>1</v>
      </c>
      <c r="V60" s="6">
        <v>1</v>
      </c>
      <c r="W60" s="6"/>
      <c r="X60" s="6"/>
      <c r="Y60" s="6"/>
      <c r="Z60" s="6"/>
      <c r="AA60" s="45">
        <v>1</v>
      </c>
      <c r="AB60" s="6"/>
      <c r="AC60" s="6"/>
      <c r="AD60" s="6">
        <v>1</v>
      </c>
      <c r="AE60" s="7">
        <v>1.45</v>
      </c>
      <c r="AF60" s="7"/>
      <c r="AG60" s="16">
        <f t="shared" si="1"/>
        <v>6.6</v>
      </c>
      <c r="AH60" s="17">
        <f t="shared" si="2"/>
        <v>12.6</v>
      </c>
      <c r="AI60" s="16">
        <f t="shared" si="3"/>
        <v>22</v>
      </c>
      <c r="AJ60" s="5" t="s">
        <v>1</v>
      </c>
      <c r="AK60" s="13"/>
      <c r="AL60" s="95"/>
      <c r="AM60" s="97"/>
      <c r="AN60" s="104"/>
      <c r="AO60" s="218"/>
      <c r="AP60" s="159">
        <v>20</v>
      </c>
      <c r="AQ60" s="145">
        <v>20</v>
      </c>
      <c r="AR60" s="219">
        <v>0</v>
      </c>
      <c r="AS60" s="97"/>
      <c r="AT60" s="165"/>
      <c r="AU60" s="220"/>
      <c r="AV60" s="222">
        <f t="shared" si="7"/>
        <v>0</v>
      </c>
    </row>
    <row r="61" spans="1:48" ht="18.75" customHeight="1" x14ac:dyDescent="0.3">
      <c r="A61" s="29">
        <v>37</v>
      </c>
      <c r="B61" s="26" t="s">
        <v>53</v>
      </c>
      <c r="C61" s="18" t="s">
        <v>95</v>
      </c>
      <c r="D61" s="19" t="s">
        <v>96</v>
      </c>
      <c r="E61" s="20" t="s">
        <v>126</v>
      </c>
      <c r="F61" s="6">
        <v>1</v>
      </c>
      <c r="G61" s="45">
        <v>1</v>
      </c>
      <c r="H61" s="6">
        <v>1</v>
      </c>
      <c r="I61" s="45"/>
      <c r="J61" s="6"/>
      <c r="K61" s="6">
        <v>1</v>
      </c>
      <c r="L61" s="45"/>
      <c r="M61" s="6"/>
      <c r="N61" s="6">
        <v>1</v>
      </c>
      <c r="O61" s="6"/>
      <c r="P61" s="45"/>
      <c r="Q61" s="6"/>
      <c r="R61" s="6">
        <v>1</v>
      </c>
      <c r="S61" s="6">
        <v>1</v>
      </c>
      <c r="T61" s="6"/>
      <c r="U61" s="6"/>
      <c r="V61" s="6"/>
      <c r="W61" s="6"/>
      <c r="X61" s="6"/>
      <c r="Y61" s="6"/>
      <c r="Z61" s="6">
        <v>1</v>
      </c>
      <c r="AA61" s="45"/>
      <c r="AB61" s="6"/>
      <c r="AC61" s="6">
        <v>1</v>
      </c>
      <c r="AD61" s="6"/>
      <c r="AE61" s="7">
        <v>1.84</v>
      </c>
      <c r="AF61" s="7"/>
      <c r="AG61" s="16">
        <f t="shared" si="1"/>
        <v>7.3</v>
      </c>
      <c r="AH61" s="17">
        <f t="shared" si="2"/>
        <v>13.3</v>
      </c>
      <c r="AI61" s="16">
        <f t="shared" si="3"/>
        <v>23</v>
      </c>
      <c r="AJ61" s="5" t="s">
        <v>1</v>
      </c>
      <c r="AK61" s="13"/>
      <c r="AL61" s="95"/>
      <c r="AM61" s="131">
        <v>6</v>
      </c>
      <c r="AN61" s="104">
        <v>6</v>
      </c>
      <c r="AO61" s="218">
        <v>0</v>
      </c>
      <c r="AP61" s="159">
        <v>20</v>
      </c>
      <c r="AQ61" s="145">
        <v>20</v>
      </c>
      <c r="AR61" s="219">
        <v>0</v>
      </c>
      <c r="AS61" s="131">
        <v>10</v>
      </c>
      <c r="AT61" s="165">
        <v>10</v>
      </c>
      <c r="AU61" s="220">
        <v>0</v>
      </c>
      <c r="AV61" s="222">
        <f t="shared" si="7"/>
        <v>0</v>
      </c>
    </row>
    <row r="62" spans="1:48" ht="18.75" customHeight="1" x14ac:dyDescent="0.3">
      <c r="A62" s="30">
        <v>12</v>
      </c>
      <c r="B62" s="26" t="s">
        <v>32</v>
      </c>
      <c r="C62" s="18" t="s">
        <v>77</v>
      </c>
      <c r="D62" s="19" t="s">
        <v>78</v>
      </c>
      <c r="E62" s="20" t="s">
        <v>105</v>
      </c>
      <c r="F62" s="6">
        <v>2</v>
      </c>
      <c r="G62" s="45">
        <v>1</v>
      </c>
      <c r="H62" s="6">
        <v>2</v>
      </c>
      <c r="I62" s="45">
        <v>3</v>
      </c>
      <c r="J62" s="6">
        <v>1</v>
      </c>
      <c r="K62" s="6">
        <v>2</v>
      </c>
      <c r="L62" s="45">
        <v>3</v>
      </c>
      <c r="M62" s="6">
        <v>1</v>
      </c>
      <c r="N62" s="6">
        <v>2</v>
      </c>
      <c r="O62" s="6">
        <v>2</v>
      </c>
      <c r="P62" s="45">
        <v>2</v>
      </c>
      <c r="Q62" s="6">
        <v>1</v>
      </c>
      <c r="R62" s="6">
        <v>2</v>
      </c>
      <c r="S62" s="6">
        <v>2</v>
      </c>
      <c r="T62" s="6">
        <v>3</v>
      </c>
      <c r="U62" s="6">
        <v>3</v>
      </c>
      <c r="V62" s="6">
        <v>2</v>
      </c>
      <c r="W62" s="6">
        <v>1</v>
      </c>
      <c r="X62" s="6">
        <v>2</v>
      </c>
      <c r="Y62" s="6">
        <v>1</v>
      </c>
      <c r="Z62" s="6">
        <v>2</v>
      </c>
      <c r="AA62" s="45">
        <v>3</v>
      </c>
      <c r="AB62" s="6">
        <v>1</v>
      </c>
      <c r="AC62" s="6">
        <v>2</v>
      </c>
      <c r="AD62" s="6">
        <v>3</v>
      </c>
      <c r="AE62" s="7">
        <v>0.94</v>
      </c>
      <c r="AF62" s="180">
        <v>0.52</v>
      </c>
      <c r="AG62" s="16">
        <f t="shared" si="1"/>
        <v>5.7</v>
      </c>
      <c r="AH62" s="17">
        <f t="shared" si="2"/>
        <v>11.7</v>
      </c>
      <c r="AI62" s="16">
        <f t="shared" si="3"/>
        <v>20</v>
      </c>
      <c r="AJ62" s="5" t="s">
        <v>139</v>
      </c>
      <c r="AK62" s="13"/>
      <c r="AL62" s="95"/>
      <c r="AM62" s="131">
        <v>30</v>
      </c>
      <c r="AN62" s="104">
        <v>30</v>
      </c>
      <c r="AO62" s="218">
        <v>0</v>
      </c>
      <c r="AP62" s="159">
        <v>100</v>
      </c>
      <c r="AQ62" s="145">
        <v>100</v>
      </c>
      <c r="AR62" s="219">
        <v>0</v>
      </c>
      <c r="AS62" s="131">
        <v>40</v>
      </c>
      <c r="AT62" s="165">
        <v>40</v>
      </c>
      <c r="AU62" s="220">
        <v>0</v>
      </c>
      <c r="AV62" s="222">
        <f t="shared" si="7"/>
        <v>0</v>
      </c>
    </row>
    <row r="63" spans="1:48" ht="18.75" customHeight="1" x14ac:dyDescent="0.3">
      <c r="A63" s="29">
        <v>18</v>
      </c>
      <c r="B63" s="26" t="s">
        <v>37</v>
      </c>
      <c r="C63" s="18" t="s">
        <v>77</v>
      </c>
      <c r="D63" s="19" t="s">
        <v>78</v>
      </c>
      <c r="E63" s="20" t="s">
        <v>110</v>
      </c>
      <c r="F63" s="6">
        <v>1</v>
      </c>
      <c r="G63" s="45"/>
      <c r="H63" s="6">
        <v>1</v>
      </c>
      <c r="I63" s="45"/>
      <c r="J63" s="6"/>
      <c r="K63" s="6"/>
      <c r="L63" s="45"/>
      <c r="M63" s="6"/>
      <c r="N63" s="6"/>
      <c r="O63" s="6"/>
      <c r="P63" s="45"/>
      <c r="Q63" s="6"/>
      <c r="R63" s="6"/>
      <c r="S63" s="6"/>
      <c r="T63" s="6"/>
      <c r="U63" s="6"/>
      <c r="V63" s="6"/>
      <c r="W63" s="6"/>
      <c r="X63" s="6"/>
      <c r="Y63" s="6"/>
      <c r="Z63" s="6"/>
      <c r="AA63" s="45"/>
      <c r="AB63" s="6"/>
      <c r="AC63" s="6"/>
      <c r="AD63" s="6"/>
      <c r="AE63" s="7">
        <v>0.65</v>
      </c>
      <c r="AF63" s="7"/>
      <c r="AG63" s="16">
        <f t="shared" si="1"/>
        <v>5.2</v>
      </c>
      <c r="AH63" s="17">
        <f t="shared" si="2"/>
        <v>11.2</v>
      </c>
      <c r="AI63" s="16">
        <f t="shared" si="3"/>
        <v>20</v>
      </c>
      <c r="AJ63" s="5" t="s">
        <v>139</v>
      </c>
      <c r="AK63" s="13"/>
      <c r="AL63" s="95"/>
      <c r="AM63" s="131">
        <v>10</v>
      </c>
      <c r="AN63" s="104">
        <v>10</v>
      </c>
      <c r="AO63" s="218">
        <v>0</v>
      </c>
      <c r="AP63" s="144"/>
      <c r="AQ63" s="145"/>
      <c r="AR63" s="219"/>
      <c r="AS63" s="97"/>
      <c r="AT63" s="165"/>
      <c r="AU63" s="220"/>
      <c r="AV63" s="222">
        <f t="shared" si="7"/>
        <v>0</v>
      </c>
    </row>
    <row r="64" spans="1:48" ht="18.75" customHeight="1" x14ac:dyDescent="0.3">
      <c r="A64" s="30">
        <v>26</v>
      </c>
      <c r="B64" s="27" t="s">
        <v>44</v>
      </c>
      <c r="C64" s="18" t="s">
        <v>77</v>
      </c>
      <c r="D64" s="19" t="s">
        <v>78</v>
      </c>
      <c r="E64" s="20" t="s">
        <v>116</v>
      </c>
      <c r="F64" s="6">
        <v>1</v>
      </c>
      <c r="G64" s="45">
        <v>1</v>
      </c>
      <c r="H64" s="6">
        <v>1</v>
      </c>
      <c r="I64" s="45">
        <v>1</v>
      </c>
      <c r="J64" s="6">
        <v>1</v>
      </c>
      <c r="K64" s="6">
        <v>1</v>
      </c>
      <c r="L64" s="45">
        <v>1</v>
      </c>
      <c r="M64" s="6">
        <v>1</v>
      </c>
      <c r="N64" s="6">
        <v>1</v>
      </c>
      <c r="O64" s="6">
        <v>1</v>
      </c>
      <c r="P64" s="45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/>
      <c r="W64" s="6"/>
      <c r="X64" s="6">
        <v>1</v>
      </c>
      <c r="Y64" s="6">
        <v>1</v>
      </c>
      <c r="Z64" s="6">
        <v>1</v>
      </c>
      <c r="AA64" s="45">
        <v>1</v>
      </c>
      <c r="AB64" s="6">
        <v>1</v>
      </c>
      <c r="AC64" s="6">
        <v>1</v>
      </c>
      <c r="AD64" s="6">
        <v>1</v>
      </c>
      <c r="AE64" s="7">
        <v>0.77</v>
      </c>
      <c r="AF64" s="180">
        <v>0.89699999999999991</v>
      </c>
      <c r="AG64" s="16">
        <f t="shared" si="1"/>
        <v>5.4</v>
      </c>
      <c r="AH64" s="17">
        <f t="shared" si="2"/>
        <v>11.4</v>
      </c>
      <c r="AI64" s="16">
        <f t="shared" si="3"/>
        <v>20</v>
      </c>
      <c r="AJ64" s="5" t="s">
        <v>139</v>
      </c>
      <c r="AK64" s="13"/>
      <c r="AL64" s="95"/>
      <c r="AM64" s="131">
        <v>20</v>
      </c>
      <c r="AN64" s="104">
        <v>20</v>
      </c>
      <c r="AO64" s="218">
        <v>0</v>
      </c>
      <c r="AP64" s="159">
        <v>70</v>
      </c>
      <c r="AQ64" s="145">
        <v>70</v>
      </c>
      <c r="AR64" s="219">
        <v>0</v>
      </c>
      <c r="AS64" s="131">
        <v>10</v>
      </c>
      <c r="AT64" s="165">
        <v>10</v>
      </c>
      <c r="AU64" s="220">
        <v>0</v>
      </c>
      <c r="AV64" s="222">
        <f t="shared" si="7"/>
        <v>0</v>
      </c>
    </row>
    <row r="65" spans="1:48" ht="18.75" customHeight="1" x14ac:dyDescent="0.3">
      <c r="A65" s="29">
        <v>21</v>
      </c>
      <c r="B65" s="127" t="s">
        <v>789</v>
      </c>
      <c r="C65" s="18" t="s">
        <v>77</v>
      </c>
      <c r="D65" s="19" t="s">
        <v>78</v>
      </c>
      <c r="E65" s="20" t="s">
        <v>116</v>
      </c>
      <c r="F65" s="6"/>
      <c r="G65" s="45"/>
      <c r="H65" s="6"/>
      <c r="I65" s="45"/>
      <c r="J65" s="6"/>
      <c r="K65" s="6"/>
      <c r="L65" s="45"/>
      <c r="M65" s="6"/>
      <c r="N65" s="6"/>
      <c r="O65" s="6"/>
      <c r="P65" s="45"/>
      <c r="Q65" s="6"/>
      <c r="R65" s="6"/>
      <c r="S65" s="6"/>
      <c r="T65" s="6"/>
      <c r="U65" s="6"/>
      <c r="V65" s="6">
        <v>1</v>
      </c>
      <c r="W65" s="6"/>
      <c r="X65" s="6"/>
      <c r="Y65" s="6"/>
      <c r="Z65" s="6"/>
      <c r="AA65" s="45"/>
      <c r="AB65" s="6"/>
      <c r="AC65" s="6"/>
      <c r="AD65" s="6"/>
      <c r="AE65" s="7">
        <v>0.87</v>
      </c>
      <c r="AF65" s="7"/>
      <c r="AG65" s="16">
        <f t="shared" si="1"/>
        <v>5.6</v>
      </c>
      <c r="AH65" s="17">
        <f t="shared" si="2"/>
        <v>11.6</v>
      </c>
      <c r="AI65" s="16">
        <f t="shared" si="3"/>
        <v>20</v>
      </c>
      <c r="AJ65" s="5" t="s">
        <v>139</v>
      </c>
      <c r="AK65" s="13"/>
      <c r="AL65" s="95"/>
      <c r="AM65" s="97"/>
      <c r="AN65" s="104"/>
      <c r="AO65" s="218"/>
      <c r="AP65" s="159">
        <v>15</v>
      </c>
      <c r="AQ65" s="145">
        <v>15</v>
      </c>
      <c r="AR65" s="219">
        <v>0</v>
      </c>
      <c r="AS65" s="97"/>
      <c r="AT65" s="165"/>
      <c r="AU65" s="220"/>
      <c r="AV65" s="222">
        <f t="shared" si="7"/>
        <v>0</v>
      </c>
    </row>
    <row r="66" spans="1:48" ht="18.75" customHeight="1" x14ac:dyDescent="0.3">
      <c r="A66" s="30">
        <v>40</v>
      </c>
      <c r="B66" s="26" t="s">
        <v>157</v>
      </c>
      <c r="C66" s="18" t="s">
        <v>77</v>
      </c>
      <c r="D66" s="19" t="s">
        <v>78</v>
      </c>
      <c r="E66" s="20" t="s">
        <v>166</v>
      </c>
      <c r="F66" s="6"/>
      <c r="G66" s="45">
        <v>2</v>
      </c>
      <c r="H66" s="6"/>
      <c r="I66" s="45">
        <v>1</v>
      </c>
      <c r="J66" s="6">
        <v>2</v>
      </c>
      <c r="K66" s="6"/>
      <c r="L66" s="45">
        <v>1</v>
      </c>
      <c r="M66" s="6">
        <v>2</v>
      </c>
      <c r="N66" s="6"/>
      <c r="O66" s="6">
        <v>2</v>
      </c>
      <c r="P66" s="45">
        <v>2</v>
      </c>
      <c r="Q66" s="6">
        <v>2</v>
      </c>
      <c r="R66" s="6"/>
      <c r="S66" s="6"/>
      <c r="T66" s="6">
        <v>1</v>
      </c>
      <c r="U66" s="6">
        <v>1</v>
      </c>
      <c r="V66" s="6">
        <v>2</v>
      </c>
      <c r="W66" s="6">
        <v>1</v>
      </c>
      <c r="X66" s="6">
        <v>2</v>
      </c>
      <c r="Y66" s="6">
        <v>2</v>
      </c>
      <c r="Z66" s="6"/>
      <c r="AA66" s="45">
        <v>1</v>
      </c>
      <c r="AB66" s="6">
        <v>2</v>
      </c>
      <c r="AC66" s="6"/>
      <c r="AD66" s="6">
        <v>1</v>
      </c>
      <c r="AE66" s="7">
        <v>0.89</v>
      </c>
      <c r="AF66" s="180">
        <v>0.44200000000000006</v>
      </c>
      <c r="AG66" s="16">
        <f t="shared" si="1"/>
        <v>5.6</v>
      </c>
      <c r="AH66" s="17">
        <f t="shared" si="2"/>
        <v>11.6</v>
      </c>
      <c r="AI66" s="16">
        <f t="shared" si="3"/>
        <v>20</v>
      </c>
      <c r="AJ66" s="5" t="s">
        <v>139</v>
      </c>
      <c r="AK66" s="13"/>
      <c r="AL66" s="95"/>
      <c r="AM66" s="131">
        <v>20</v>
      </c>
      <c r="AN66" s="104">
        <v>20</v>
      </c>
      <c r="AO66" s="218">
        <v>0</v>
      </c>
      <c r="AP66" s="159">
        <v>80</v>
      </c>
      <c r="AQ66" s="145">
        <v>80</v>
      </c>
      <c r="AR66" s="219">
        <v>0</v>
      </c>
      <c r="AS66" s="131">
        <v>15</v>
      </c>
      <c r="AT66" s="165">
        <v>15</v>
      </c>
      <c r="AU66" s="220">
        <v>0</v>
      </c>
      <c r="AV66" s="222">
        <f t="shared" si="7"/>
        <v>0</v>
      </c>
    </row>
    <row r="67" spans="1:48" ht="18.75" customHeight="1" x14ac:dyDescent="0.3">
      <c r="A67" s="30">
        <v>3</v>
      </c>
      <c r="B67" s="24" t="s">
        <v>24</v>
      </c>
      <c r="C67" s="18" t="s">
        <v>61</v>
      </c>
      <c r="D67" s="19" t="s">
        <v>62</v>
      </c>
      <c r="E67" s="20" t="s">
        <v>97</v>
      </c>
      <c r="F67" s="6">
        <v>2</v>
      </c>
      <c r="G67" s="45">
        <v>2</v>
      </c>
      <c r="H67" s="6">
        <v>2</v>
      </c>
      <c r="I67" s="45">
        <v>1</v>
      </c>
      <c r="J67" s="6">
        <v>2</v>
      </c>
      <c r="K67" s="6">
        <v>2</v>
      </c>
      <c r="L67" s="45">
        <v>2</v>
      </c>
      <c r="M67" s="6">
        <v>2</v>
      </c>
      <c r="N67" s="6">
        <v>2</v>
      </c>
      <c r="O67" s="6">
        <v>2</v>
      </c>
      <c r="P67" s="45">
        <v>2</v>
      </c>
      <c r="Q67" s="6">
        <v>2</v>
      </c>
      <c r="R67" s="6">
        <v>2</v>
      </c>
      <c r="S67" s="6">
        <v>2</v>
      </c>
      <c r="T67" s="6">
        <v>2</v>
      </c>
      <c r="U67" s="6">
        <v>2</v>
      </c>
      <c r="V67" s="6">
        <v>2</v>
      </c>
      <c r="W67" s="6"/>
      <c r="X67" s="6">
        <v>2</v>
      </c>
      <c r="Y67" s="6">
        <v>2</v>
      </c>
      <c r="Z67" s="6">
        <v>2</v>
      </c>
      <c r="AA67" s="45">
        <v>2</v>
      </c>
      <c r="AB67" s="6">
        <v>2</v>
      </c>
      <c r="AC67" s="6">
        <v>2</v>
      </c>
      <c r="AD67" s="6">
        <v>2</v>
      </c>
      <c r="AE67" s="7">
        <v>0.08</v>
      </c>
      <c r="AF67" s="180">
        <v>2.7040000000000002</v>
      </c>
      <c r="AG67" s="16">
        <f t="shared" si="1"/>
        <v>4.0999999999999996</v>
      </c>
      <c r="AH67" s="17">
        <f t="shared" si="2"/>
        <v>10.1</v>
      </c>
      <c r="AI67" s="16">
        <f t="shared" si="3"/>
        <v>18</v>
      </c>
      <c r="AJ67" s="5" t="s">
        <v>135</v>
      </c>
      <c r="AK67" s="13"/>
      <c r="AL67" s="95"/>
      <c r="AM67" s="131">
        <v>10</v>
      </c>
      <c r="AN67" s="104">
        <v>10</v>
      </c>
      <c r="AO67" s="218">
        <v>0</v>
      </c>
      <c r="AP67" s="159">
        <v>20</v>
      </c>
      <c r="AQ67" s="145">
        <v>20</v>
      </c>
      <c r="AR67" s="219">
        <v>0</v>
      </c>
      <c r="AS67" s="97"/>
      <c r="AT67" s="165"/>
      <c r="AU67" s="220"/>
      <c r="AV67" s="222">
        <f t="shared" si="7"/>
        <v>0</v>
      </c>
    </row>
    <row r="68" spans="1:48" ht="18.75" customHeight="1" x14ac:dyDescent="0.3">
      <c r="A68" s="30" t="s">
        <v>20</v>
      </c>
      <c r="B68" s="24" t="s">
        <v>25</v>
      </c>
      <c r="C68" s="18" t="s">
        <v>61</v>
      </c>
      <c r="D68" s="19" t="s">
        <v>62</v>
      </c>
      <c r="E68" s="20" t="s">
        <v>98</v>
      </c>
      <c r="F68" s="6">
        <v>2</v>
      </c>
      <c r="G68" s="45">
        <v>2</v>
      </c>
      <c r="H68" s="6">
        <v>2</v>
      </c>
      <c r="I68" s="45">
        <v>1</v>
      </c>
      <c r="J68" s="6">
        <v>2</v>
      </c>
      <c r="K68" s="6">
        <v>2</v>
      </c>
      <c r="L68" s="45">
        <v>2</v>
      </c>
      <c r="M68" s="6">
        <v>2</v>
      </c>
      <c r="N68" s="6">
        <v>2</v>
      </c>
      <c r="O68" s="6">
        <v>2</v>
      </c>
      <c r="P68" s="45">
        <v>2</v>
      </c>
      <c r="Q68" s="6"/>
      <c r="R68" s="6">
        <v>2</v>
      </c>
      <c r="S68" s="6">
        <v>2</v>
      </c>
      <c r="T68" s="6">
        <v>2</v>
      </c>
      <c r="U68" s="6">
        <v>2</v>
      </c>
      <c r="V68" s="6"/>
      <c r="W68" s="6"/>
      <c r="X68" s="6">
        <v>2</v>
      </c>
      <c r="Y68" s="6">
        <v>2</v>
      </c>
      <c r="Z68" s="6">
        <v>2</v>
      </c>
      <c r="AA68" s="45">
        <v>2</v>
      </c>
      <c r="AB68" s="6">
        <v>2</v>
      </c>
      <c r="AC68" s="6">
        <v>2</v>
      </c>
      <c r="AD68" s="6">
        <v>2</v>
      </c>
      <c r="AE68" s="7">
        <v>0.08</v>
      </c>
      <c r="AF68" s="180">
        <v>2.7040000000000002</v>
      </c>
      <c r="AG68" s="16">
        <f t="shared" si="1"/>
        <v>4.0999999999999996</v>
      </c>
      <c r="AH68" s="17">
        <f t="shared" si="2"/>
        <v>10.1</v>
      </c>
      <c r="AI68" s="16">
        <f t="shared" si="3"/>
        <v>18</v>
      </c>
      <c r="AJ68" s="5" t="s">
        <v>135</v>
      </c>
      <c r="AK68" s="13"/>
      <c r="AL68" s="95"/>
      <c r="AM68" s="131">
        <v>10</v>
      </c>
      <c r="AN68" s="104">
        <v>10</v>
      </c>
      <c r="AO68" s="218">
        <v>0</v>
      </c>
      <c r="AP68" s="159">
        <v>20</v>
      </c>
      <c r="AQ68" s="145">
        <v>20</v>
      </c>
      <c r="AR68" s="219">
        <v>0</v>
      </c>
      <c r="AS68" s="97"/>
      <c r="AT68" s="165"/>
      <c r="AU68" s="220"/>
      <c r="AV68" s="222">
        <f t="shared" si="7"/>
        <v>0</v>
      </c>
    </row>
    <row r="69" spans="1:48" ht="18.75" customHeight="1" x14ac:dyDescent="0.3">
      <c r="A69" s="30">
        <v>8</v>
      </c>
      <c r="B69" s="25" t="s">
        <v>29</v>
      </c>
      <c r="C69" s="18" t="s">
        <v>71</v>
      </c>
      <c r="D69" s="19" t="s">
        <v>72</v>
      </c>
      <c r="E69" s="20" t="s">
        <v>102</v>
      </c>
      <c r="F69" s="6">
        <v>2</v>
      </c>
      <c r="G69" s="45">
        <v>2</v>
      </c>
      <c r="H69" s="6">
        <v>2</v>
      </c>
      <c r="I69" s="45">
        <v>2</v>
      </c>
      <c r="J69" s="6">
        <v>2</v>
      </c>
      <c r="K69" s="6">
        <v>2</v>
      </c>
      <c r="L69" s="45">
        <v>2</v>
      </c>
      <c r="M69" s="6">
        <v>2</v>
      </c>
      <c r="N69" s="6">
        <v>2</v>
      </c>
      <c r="O69" s="6">
        <v>2</v>
      </c>
      <c r="P69" s="45">
        <v>2</v>
      </c>
      <c r="Q69" s="6">
        <v>2</v>
      </c>
      <c r="R69" s="6">
        <v>2</v>
      </c>
      <c r="S69" s="6">
        <v>2</v>
      </c>
      <c r="T69" s="6">
        <v>2</v>
      </c>
      <c r="U69" s="6">
        <v>2</v>
      </c>
      <c r="V69" s="6">
        <v>2</v>
      </c>
      <c r="W69" s="6"/>
      <c r="X69" s="6"/>
      <c r="Y69" s="6">
        <v>2</v>
      </c>
      <c r="Z69" s="6">
        <v>2</v>
      </c>
      <c r="AA69" s="45">
        <v>2</v>
      </c>
      <c r="AB69" s="6">
        <v>2</v>
      </c>
      <c r="AC69" s="6">
        <v>2</v>
      </c>
      <c r="AD69" s="6">
        <v>2</v>
      </c>
      <c r="AE69" s="7">
        <v>0.76</v>
      </c>
      <c r="AF69" s="7"/>
      <c r="AG69" s="16">
        <f t="shared" si="1"/>
        <v>5.4</v>
      </c>
      <c r="AH69" s="17">
        <f t="shared" si="2"/>
        <v>11.4</v>
      </c>
      <c r="AI69" s="16">
        <f t="shared" si="3"/>
        <v>20</v>
      </c>
      <c r="AJ69" s="5" t="s">
        <v>135</v>
      </c>
      <c r="AK69" s="13"/>
      <c r="AL69" s="95"/>
      <c r="AM69" s="131">
        <v>16</v>
      </c>
      <c r="AN69" s="104">
        <v>16</v>
      </c>
      <c r="AO69" s="218">
        <v>0</v>
      </c>
      <c r="AP69" s="159">
        <v>15</v>
      </c>
      <c r="AQ69" s="145">
        <v>15</v>
      </c>
      <c r="AR69" s="219">
        <v>0</v>
      </c>
      <c r="AS69" s="131">
        <v>10</v>
      </c>
      <c r="AT69" s="165">
        <v>10</v>
      </c>
      <c r="AU69" s="220">
        <v>0</v>
      </c>
      <c r="AV69" s="222">
        <f t="shared" si="7"/>
        <v>0</v>
      </c>
    </row>
    <row r="70" spans="1:48" ht="18.75" customHeight="1" x14ac:dyDescent="0.3">
      <c r="A70" s="30">
        <v>10</v>
      </c>
      <c r="B70" s="25" t="s">
        <v>30</v>
      </c>
      <c r="C70" s="18" t="s">
        <v>73</v>
      </c>
      <c r="D70" s="19" t="s">
        <v>74</v>
      </c>
      <c r="E70" s="20" t="s">
        <v>103</v>
      </c>
      <c r="F70" s="6">
        <v>2</v>
      </c>
      <c r="G70" s="45">
        <v>2</v>
      </c>
      <c r="H70" s="6">
        <v>2</v>
      </c>
      <c r="I70" s="45">
        <v>2</v>
      </c>
      <c r="J70" s="6">
        <v>2</v>
      </c>
      <c r="K70" s="6">
        <v>2</v>
      </c>
      <c r="L70" s="45">
        <v>2</v>
      </c>
      <c r="M70" s="6">
        <v>2</v>
      </c>
      <c r="N70" s="6">
        <v>2</v>
      </c>
      <c r="O70" s="6">
        <v>2</v>
      </c>
      <c r="P70" s="45">
        <v>2</v>
      </c>
      <c r="Q70" s="6">
        <v>2</v>
      </c>
      <c r="R70" s="6">
        <v>2</v>
      </c>
      <c r="S70" s="6">
        <v>2</v>
      </c>
      <c r="T70" s="6">
        <v>2</v>
      </c>
      <c r="U70" s="6">
        <v>2</v>
      </c>
      <c r="V70" s="6">
        <v>2</v>
      </c>
      <c r="W70" s="6"/>
      <c r="X70" s="6">
        <v>2</v>
      </c>
      <c r="Y70" s="6">
        <v>2</v>
      </c>
      <c r="Z70" s="6">
        <v>2</v>
      </c>
      <c r="AA70" s="45">
        <v>2</v>
      </c>
      <c r="AB70" s="6">
        <v>2</v>
      </c>
      <c r="AC70" s="6">
        <v>2</v>
      </c>
      <c r="AD70" s="6">
        <v>2</v>
      </c>
      <c r="AE70" s="7">
        <v>0.71</v>
      </c>
      <c r="AF70" s="180">
        <v>0.39</v>
      </c>
      <c r="AG70" s="16">
        <f t="shared" si="1"/>
        <v>5.3</v>
      </c>
      <c r="AH70" s="17">
        <f t="shared" si="2"/>
        <v>11.3</v>
      </c>
      <c r="AI70" s="16">
        <f t="shared" si="3"/>
        <v>20</v>
      </c>
      <c r="AJ70" s="5" t="s">
        <v>135</v>
      </c>
      <c r="AK70" s="13"/>
      <c r="AL70" s="95"/>
      <c r="AM70" s="131">
        <v>11</v>
      </c>
      <c r="AN70" s="104">
        <v>11</v>
      </c>
      <c r="AO70" s="218">
        <v>0</v>
      </c>
      <c r="AP70" s="159">
        <v>15</v>
      </c>
      <c r="AQ70" s="145">
        <v>15</v>
      </c>
      <c r="AR70" s="219">
        <v>0</v>
      </c>
      <c r="AS70" s="131">
        <v>10</v>
      </c>
      <c r="AT70" s="165">
        <v>10</v>
      </c>
      <c r="AU70" s="220">
        <v>0</v>
      </c>
      <c r="AV70" s="222">
        <f t="shared" ref="AV70:AV133" si="38">AU70+AR70+AO70</f>
        <v>0</v>
      </c>
    </row>
    <row r="71" spans="1:48" ht="18.75" customHeight="1" x14ac:dyDescent="0.3">
      <c r="A71" s="30">
        <v>15</v>
      </c>
      <c r="B71" s="26" t="s">
        <v>34</v>
      </c>
      <c r="C71" s="18" t="s">
        <v>71</v>
      </c>
      <c r="D71" s="19" t="s">
        <v>72</v>
      </c>
      <c r="E71" s="20" t="s">
        <v>107</v>
      </c>
      <c r="F71" s="6">
        <v>1</v>
      </c>
      <c r="G71" s="45">
        <v>1</v>
      </c>
      <c r="H71" s="6">
        <v>1</v>
      </c>
      <c r="I71" s="45">
        <v>1</v>
      </c>
      <c r="J71" s="6">
        <v>1</v>
      </c>
      <c r="K71" s="6">
        <v>1</v>
      </c>
      <c r="L71" s="45">
        <v>1</v>
      </c>
      <c r="M71" s="6">
        <v>1</v>
      </c>
      <c r="N71" s="6">
        <v>1</v>
      </c>
      <c r="O71" s="6">
        <v>1</v>
      </c>
      <c r="P71" s="45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/>
      <c r="X71" s="6"/>
      <c r="Y71" s="6">
        <v>1</v>
      </c>
      <c r="Z71" s="6">
        <v>1</v>
      </c>
      <c r="AA71" s="45">
        <v>1</v>
      </c>
      <c r="AB71" s="6">
        <v>1</v>
      </c>
      <c r="AC71" s="6">
        <v>1</v>
      </c>
      <c r="AD71" s="6">
        <v>1</v>
      </c>
      <c r="AE71" s="7">
        <v>0.56000000000000005</v>
      </c>
      <c r="AF71" s="7"/>
      <c r="AG71" s="16">
        <f t="shared" si="1"/>
        <v>5</v>
      </c>
      <c r="AH71" s="17">
        <f t="shared" si="2"/>
        <v>11</v>
      </c>
      <c r="AI71" s="16">
        <f t="shared" si="3"/>
        <v>19</v>
      </c>
      <c r="AJ71" s="5" t="s">
        <v>135</v>
      </c>
      <c r="AK71" s="13"/>
      <c r="AL71" s="95"/>
      <c r="AM71" s="131">
        <v>3</v>
      </c>
      <c r="AN71" s="104">
        <v>3</v>
      </c>
      <c r="AO71" s="218">
        <v>0</v>
      </c>
      <c r="AP71" s="159">
        <v>10</v>
      </c>
      <c r="AQ71" s="145">
        <v>10</v>
      </c>
      <c r="AR71" s="219">
        <v>0</v>
      </c>
      <c r="AS71" s="131">
        <v>10</v>
      </c>
      <c r="AT71" s="165">
        <v>10</v>
      </c>
      <c r="AU71" s="220">
        <v>0</v>
      </c>
      <c r="AV71" s="222">
        <f t="shared" si="38"/>
        <v>0</v>
      </c>
    </row>
    <row r="72" spans="1:48" ht="18.75" customHeight="1" x14ac:dyDescent="0.3">
      <c r="A72" s="30">
        <v>16</v>
      </c>
      <c r="B72" s="26" t="s">
        <v>35</v>
      </c>
      <c r="C72" s="18" t="s">
        <v>73</v>
      </c>
      <c r="D72" s="19" t="s">
        <v>74</v>
      </c>
      <c r="E72" s="20" t="s">
        <v>108</v>
      </c>
      <c r="F72" s="6">
        <v>1</v>
      </c>
      <c r="G72" s="45">
        <v>1</v>
      </c>
      <c r="H72" s="6">
        <v>1</v>
      </c>
      <c r="I72" s="45">
        <v>1</v>
      </c>
      <c r="J72" s="6">
        <v>1</v>
      </c>
      <c r="K72" s="6">
        <v>1</v>
      </c>
      <c r="L72" s="45">
        <v>1</v>
      </c>
      <c r="M72" s="6">
        <v>1</v>
      </c>
      <c r="N72" s="6">
        <v>1</v>
      </c>
      <c r="O72" s="6">
        <v>1</v>
      </c>
      <c r="P72" s="45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45">
        <v>1</v>
      </c>
      <c r="AB72" s="6">
        <v>1</v>
      </c>
      <c r="AC72" s="6">
        <v>1</v>
      </c>
      <c r="AD72" s="6">
        <v>1</v>
      </c>
      <c r="AE72" s="7">
        <v>0.6</v>
      </c>
      <c r="AF72" s="180">
        <v>0.78</v>
      </c>
      <c r="AG72" s="16">
        <f t="shared" si="1"/>
        <v>5.0999999999999996</v>
      </c>
      <c r="AH72" s="17">
        <f t="shared" si="2"/>
        <v>11.1</v>
      </c>
      <c r="AI72" s="16">
        <f t="shared" si="3"/>
        <v>19</v>
      </c>
      <c r="AJ72" s="5" t="s">
        <v>135</v>
      </c>
      <c r="AK72" s="13"/>
      <c r="AL72" s="95"/>
      <c r="AM72" s="131">
        <v>3</v>
      </c>
      <c r="AN72" s="104">
        <v>3</v>
      </c>
      <c r="AO72" s="218">
        <v>0</v>
      </c>
      <c r="AP72" s="159">
        <v>10</v>
      </c>
      <c r="AQ72" s="145">
        <v>10</v>
      </c>
      <c r="AR72" s="219">
        <v>0</v>
      </c>
      <c r="AS72" s="131">
        <v>10</v>
      </c>
      <c r="AT72" s="165">
        <v>10</v>
      </c>
      <c r="AU72" s="220">
        <v>0</v>
      </c>
      <c r="AV72" s="222">
        <f t="shared" si="38"/>
        <v>0</v>
      </c>
    </row>
    <row r="73" spans="1:48" ht="18.75" customHeight="1" x14ac:dyDescent="0.3">
      <c r="A73" s="29">
        <v>19</v>
      </c>
      <c r="B73" s="26" t="s">
        <v>38</v>
      </c>
      <c r="C73" s="18" t="s">
        <v>79</v>
      </c>
      <c r="D73" s="19" t="s">
        <v>80</v>
      </c>
      <c r="E73" s="20" t="s">
        <v>111</v>
      </c>
      <c r="F73" s="6">
        <v>1</v>
      </c>
      <c r="G73" s="45"/>
      <c r="H73" s="6">
        <v>1</v>
      </c>
      <c r="I73" s="45"/>
      <c r="J73" s="6"/>
      <c r="K73" s="6">
        <v>1</v>
      </c>
      <c r="L73" s="45"/>
      <c r="M73" s="6"/>
      <c r="N73" s="6">
        <v>1</v>
      </c>
      <c r="O73" s="6"/>
      <c r="P73" s="45"/>
      <c r="Q73" s="6"/>
      <c r="R73" s="6">
        <v>1</v>
      </c>
      <c r="S73" s="6">
        <v>1</v>
      </c>
      <c r="T73" s="6"/>
      <c r="U73" s="6"/>
      <c r="V73" s="6"/>
      <c r="W73" s="6"/>
      <c r="X73" s="6"/>
      <c r="Y73" s="6"/>
      <c r="Z73" s="6">
        <v>1</v>
      </c>
      <c r="AA73" s="45"/>
      <c r="AB73" s="6"/>
      <c r="AC73" s="6">
        <v>1</v>
      </c>
      <c r="AD73" s="6"/>
      <c r="AE73" s="7">
        <v>0.38</v>
      </c>
      <c r="AF73" s="7"/>
      <c r="AG73" s="16">
        <f t="shared" si="1"/>
        <v>4.7</v>
      </c>
      <c r="AH73" s="17">
        <f t="shared" si="2"/>
        <v>10.7</v>
      </c>
      <c r="AI73" s="16">
        <f t="shared" si="3"/>
        <v>19</v>
      </c>
      <c r="AJ73" s="5" t="s">
        <v>135</v>
      </c>
      <c r="AK73" s="13"/>
      <c r="AL73" s="95"/>
      <c r="AM73" s="131">
        <v>3</v>
      </c>
      <c r="AN73" s="104">
        <v>3</v>
      </c>
      <c r="AO73" s="218">
        <v>0</v>
      </c>
      <c r="AP73" s="159">
        <v>2</v>
      </c>
      <c r="AQ73" s="145">
        <v>2</v>
      </c>
      <c r="AR73" s="219">
        <v>0</v>
      </c>
      <c r="AS73" s="97"/>
      <c r="AT73" s="165"/>
      <c r="AU73" s="220"/>
      <c r="AV73" s="222">
        <f t="shared" si="38"/>
        <v>0</v>
      </c>
    </row>
    <row r="74" spans="1:48" ht="18.75" customHeight="1" x14ac:dyDescent="0.3">
      <c r="A74" s="29">
        <v>20</v>
      </c>
      <c r="B74" s="27" t="s">
        <v>634</v>
      </c>
      <c r="C74" s="18" t="s">
        <v>81</v>
      </c>
      <c r="D74" s="19" t="s">
        <v>82</v>
      </c>
      <c r="E74" s="20" t="s">
        <v>112</v>
      </c>
      <c r="F74" s="6">
        <v>1</v>
      </c>
      <c r="G74" s="45"/>
      <c r="H74" s="6"/>
      <c r="I74" s="45"/>
      <c r="J74" s="6"/>
      <c r="K74" s="6"/>
      <c r="L74" s="45"/>
      <c r="M74" s="6"/>
      <c r="N74" s="6"/>
      <c r="O74" s="6"/>
      <c r="P74" s="45"/>
      <c r="Q74" s="6"/>
      <c r="R74" s="6"/>
      <c r="S74" s="6"/>
      <c r="T74" s="6"/>
      <c r="U74" s="6"/>
      <c r="V74" s="6"/>
      <c r="W74" s="6"/>
      <c r="X74" s="6"/>
      <c r="Y74" s="6"/>
      <c r="Z74" s="6"/>
      <c r="AA74" s="45"/>
      <c r="AB74" s="6"/>
      <c r="AC74" s="6"/>
      <c r="AD74" s="6"/>
      <c r="AE74" s="7">
        <v>4.91</v>
      </c>
      <c r="AF74" s="7"/>
      <c r="AG74" s="16">
        <f t="shared" si="1"/>
        <v>12.8</v>
      </c>
      <c r="AH74" s="17">
        <f t="shared" si="2"/>
        <v>18.8</v>
      </c>
      <c r="AI74" s="16">
        <f t="shared" si="3"/>
        <v>33</v>
      </c>
      <c r="AJ74" s="5" t="s">
        <v>135</v>
      </c>
      <c r="AK74" s="13"/>
      <c r="AL74" s="95"/>
      <c r="AM74" s="131">
        <v>4</v>
      </c>
      <c r="AN74" s="104">
        <v>4</v>
      </c>
      <c r="AO74" s="218">
        <v>0</v>
      </c>
      <c r="AP74" s="144"/>
      <c r="AQ74" s="145"/>
      <c r="AR74" s="219"/>
      <c r="AS74" s="97"/>
      <c r="AT74" s="165"/>
      <c r="AU74" s="220"/>
      <c r="AV74" s="222">
        <f t="shared" si="38"/>
        <v>0</v>
      </c>
    </row>
    <row r="75" spans="1:48" ht="18.75" customHeight="1" x14ac:dyDescent="0.3">
      <c r="A75" s="29">
        <v>20</v>
      </c>
      <c r="B75" s="127" t="s">
        <v>729</v>
      </c>
      <c r="C75" s="18" t="s">
        <v>81</v>
      </c>
      <c r="D75" s="19" t="s">
        <v>82</v>
      </c>
      <c r="E75" s="20" t="s">
        <v>112</v>
      </c>
      <c r="F75" s="6"/>
      <c r="G75" s="45"/>
      <c r="H75" s="6">
        <v>1</v>
      </c>
      <c r="I75" s="45">
        <v>1</v>
      </c>
      <c r="J75" s="6"/>
      <c r="K75" s="6">
        <v>1</v>
      </c>
      <c r="L75" s="45">
        <v>1</v>
      </c>
      <c r="M75" s="6"/>
      <c r="N75" s="6">
        <v>1</v>
      </c>
      <c r="O75" s="6">
        <v>1</v>
      </c>
      <c r="P75" s="45">
        <v>1</v>
      </c>
      <c r="Q75" s="6"/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/>
      <c r="Z75" s="6">
        <v>1</v>
      </c>
      <c r="AA75" s="45">
        <v>1</v>
      </c>
      <c r="AB75" s="6"/>
      <c r="AC75" s="6">
        <v>1</v>
      </c>
      <c r="AD75" s="6">
        <v>1</v>
      </c>
      <c r="AE75" s="7">
        <v>2.92</v>
      </c>
      <c r="AF75" s="180">
        <v>0.8580000000000001</v>
      </c>
      <c r="AG75" s="16">
        <f t="shared" si="1"/>
        <v>9.3000000000000007</v>
      </c>
      <c r="AH75" s="17">
        <f t="shared" si="2"/>
        <v>15.3</v>
      </c>
      <c r="AI75" s="16">
        <f t="shared" si="3"/>
        <v>27</v>
      </c>
      <c r="AJ75" s="5" t="s">
        <v>135</v>
      </c>
      <c r="AK75" s="13"/>
      <c r="AL75" s="95"/>
      <c r="AM75" s="97"/>
      <c r="AN75" s="104"/>
      <c r="AO75" s="218"/>
      <c r="AP75" s="159">
        <v>10</v>
      </c>
      <c r="AQ75" s="145">
        <v>10</v>
      </c>
      <c r="AR75" s="219">
        <v>0</v>
      </c>
      <c r="AS75" s="131">
        <v>10</v>
      </c>
      <c r="AT75" s="165">
        <v>10</v>
      </c>
      <c r="AU75" s="220">
        <v>0</v>
      </c>
      <c r="AV75" s="222">
        <f t="shared" si="38"/>
        <v>0</v>
      </c>
    </row>
    <row r="76" spans="1:48" ht="18.75" customHeight="1" x14ac:dyDescent="0.3">
      <c r="A76" s="30">
        <v>27</v>
      </c>
      <c r="B76" s="24" t="s">
        <v>45</v>
      </c>
      <c r="C76" s="18" t="s">
        <v>73</v>
      </c>
      <c r="D76" s="19" t="s">
        <v>74</v>
      </c>
      <c r="E76" s="20" t="s">
        <v>117</v>
      </c>
      <c r="F76" s="6">
        <v>1</v>
      </c>
      <c r="G76" s="45">
        <v>1</v>
      </c>
      <c r="H76" s="6">
        <v>1</v>
      </c>
      <c r="I76" s="45"/>
      <c r="J76" s="6">
        <v>1</v>
      </c>
      <c r="K76" s="6">
        <v>1</v>
      </c>
      <c r="L76" s="45">
        <v>1</v>
      </c>
      <c r="M76" s="6">
        <v>1</v>
      </c>
      <c r="N76" s="6">
        <v>1</v>
      </c>
      <c r="O76" s="6">
        <v>1</v>
      </c>
      <c r="P76" s="45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/>
      <c r="X76" s="6">
        <v>1</v>
      </c>
      <c r="Y76" s="6">
        <v>1</v>
      </c>
      <c r="Z76" s="6">
        <v>1</v>
      </c>
      <c r="AA76" s="45">
        <v>1</v>
      </c>
      <c r="AB76" s="6">
        <v>1</v>
      </c>
      <c r="AC76" s="6">
        <v>1</v>
      </c>
      <c r="AD76" s="6">
        <v>1</v>
      </c>
      <c r="AE76" s="7">
        <v>2.4900000000000002</v>
      </c>
      <c r="AF76" s="180">
        <v>0.59800000000000009</v>
      </c>
      <c r="AG76" s="16">
        <f t="shared" si="1"/>
        <v>8.5</v>
      </c>
      <c r="AH76" s="17">
        <f t="shared" si="2"/>
        <v>14.5</v>
      </c>
      <c r="AI76" s="16">
        <f t="shared" si="3"/>
        <v>25</v>
      </c>
      <c r="AJ76" s="5" t="s">
        <v>135</v>
      </c>
      <c r="AK76" s="21"/>
      <c r="AL76" s="96"/>
      <c r="AM76" s="131">
        <v>8</v>
      </c>
      <c r="AN76" s="104">
        <v>8</v>
      </c>
      <c r="AO76" s="218">
        <v>0</v>
      </c>
      <c r="AP76" s="159">
        <v>10</v>
      </c>
      <c r="AQ76" s="145">
        <v>10</v>
      </c>
      <c r="AR76" s="219">
        <v>0</v>
      </c>
      <c r="AS76" s="131">
        <v>10</v>
      </c>
      <c r="AT76" s="165">
        <v>10</v>
      </c>
      <c r="AU76" s="220">
        <v>0</v>
      </c>
      <c r="AV76" s="222">
        <f t="shared" si="38"/>
        <v>0</v>
      </c>
    </row>
    <row r="77" spans="1:48" ht="18.75" customHeight="1" x14ac:dyDescent="0.3">
      <c r="A77" s="147">
        <v>33</v>
      </c>
      <c r="B77" s="149" t="s">
        <v>902</v>
      </c>
      <c r="C77" s="18" t="s">
        <v>73</v>
      </c>
      <c r="D77" s="19" t="s">
        <v>74</v>
      </c>
      <c r="E77" s="20" t="s">
        <v>117</v>
      </c>
      <c r="F77" s="6"/>
      <c r="G77" s="45"/>
      <c r="H77" s="6"/>
      <c r="I77" s="45"/>
      <c r="J77" s="6"/>
      <c r="K77" s="6"/>
      <c r="L77" s="45"/>
      <c r="M77" s="6"/>
      <c r="N77" s="6"/>
      <c r="O77" s="6">
        <v>1</v>
      </c>
      <c r="P77" s="45"/>
      <c r="Q77" s="6"/>
      <c r="R77" s="6"/>
      <c r="S77" s="6"/>
      <c r="T77" s="6"/>
      <c r="U77" s="6"/>
      <c r="V77" s="6"/>
      <c r="W77" s="6"/>
      <c r="X77" s="6"/>
      <c r="Y77" s="6"/>
      <c r="Z77" s="6"/>
      <c r="AA77" s="45"/>
      <c r="AB77" s="6"/>
      <c r="AC77" s="6"/>
      <c r="AD77" s="6"/>
      <c r="AE77" s="7">
        <v>5.33</v>
      </c>
      <c r="AF77" s="7"/>
      <c r="AG77" s="16">
        <f t="shared" si="1"/>
        <v>13.6</v>
      </c>
      <c r="AH77" s="17">
        <f t="shared" si="2"/>
        <v>19.600000000000001</v>
      </c>
      <c r="AI77" s="16">
        <f t="shared" si="3"/>
        <v>34</v>
      </c>
      <c r="AJ77" s="5" t="s">
        <v>135</v>
      </c>
      <c r="AK77" s="21"/>
      <c r="AL77" s="96"/>
      <c r="AM77" s="139"/>
      <c r="AN77" s="104"/>
      <c r="AO77" s="218"/>
      <c r="AP77" s="144"/>
      <c r="AQ77" s="145"/>
      <c r="AR77" s="219"/>
      <c r="AS77" s="131">
        <v>3</v>
      </c>
      <c r="AT77" s="165">
        <v>3</v>
      </c>
      <c r="AU77" s="220">
        <v>0</v>
      </c>
      <c r="AV77" s="222">
        <f t="shared" si="38"/>
        <v>0</v>
      </c>
    </row>
    <row r="78" spans="1:48" ht="18.75" customHeight="1" x14ac:dyDescent="0.3">
      <c r="A78" s="29">
        <v>41</v>
      </c>
      <c r="B78" s="127" t="s">
        <v>794</v>
      </c>
      <c r="C78" s="18" t="s">
        <v>73</v>
      </c>
      <c r="D78" s="19" t="s">
        <v>74</v>
      </c>
      <c r="E78" s="20" t="s">
        <v>765</v>
      </c>
      <c r="F78" s="6"/>
      <c r="G78" s="45"/>
      <c r="H78" s="6"/>
      <c r="I78" s="45">
        <v>1</v>
      </c>
      <c r="J78" s="6"/>
      <c r="K78" s="6"/>
      <c r="L78" s="45">
        <v>1</v>
      </c>
      <c r="M78" s="6"/>
      <c r="N78" s="6"/>
      <c r="O78" s="6"/>
      <c r="P78" s="45">
        <v>1</v>
      </c>
      <c r="Q78" s="6"/>
      <c r="R78" s="6"/>
      <c r="S78" s="6"/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/>
      <c r="Z78" s="6"/>
      <c r="AA78" s="45">
        <v>1</v>
      </c>
      <c r="AB78" s="6"/>
      <c r="AC78" s="6"/>
      <c r="AD78" s="6">
        <v>1</v>
      </c>
      <c r="AE78" s="7">
        <v>0.88</v>
      </c>
      <c r="AF78" s="180">
        <v>0.23399999999999999</v>
      </c>
      <c r="AG78" s="16">
        <f t="shared" si="1"/>
        <v>5.6</v>
      </c>
      <c r="AH78" s="17">
        <f t="shared" si="2"/>
        <v>11.6</v>
      </c>
      <c r="AI78" s="16">
        <f t="shared" si="3"/>
        <v>20</v>
      </c>
      <c r="AJ78" s="5" t="s">
        <v>135</v>
      </c>
      <c r="AK78" s="21"/>
      <c r="AL78" s="96"/>
      <c r="AM78" s="97"/>
      <c r="AN78" s="104"/>
      <c r="AO78" s="218"/>
      <c r="AP78" s="159">
        <v>10</v>
      </c>
      <c r="AQ78" s="145">
        <v>10</v>
      </c>
      <c r="AR78" s="219">
        <v>0</v>
      </c>
      <c r="AS78" s="97"/>
      <c r="AT78" s="165"/>
      <c r="AU78" s="220"/>
      <c r="AV78" s="222">
        <f t="shared" si="38"/>
        <v>0</v>
      </c>
    </row>
    <row r="79" spans="1:48" ht="18.75" customHeight="1" x14ac:dyDescent="0.3">
      <c r="A79" s="30">
        <v>29</v>
      </c>
      <c r="B79" s="26" t="s">
        <v>46</v>
      </c>
      <c r="C79" s="18" t="s">
        <v>71</v>
      </c>
      <c r="D79" s="19" t="s">
        <v>72</v>
      </c>
      <c r="E79" s="20" t="s">
        <v>118</v>
      </c>
      <c r="F79" s="6">
        <v>1</v>
      </c>
      <c r="G79" s="45">
        <v>1</v>
      </c>
      <c r="H79" s="6">
        <v>1</v>
      </c>
      <c r="I79" s="45">
        <v>1</v>
      </c>
      <c r="J79" s="6">
        <v>1</v>
      </c>
      <c r="K79" s="6">
        <v>1</v>
      </c>
      <c r="L79" s="45">
        <v>1</v>
      </c>
      <c r="M79" s="6">
        <v>1</v>
      </c>
      <c r="N79" s="6">
        <v>1</v>
      </c>
      <c r="O79" s="6">
        <v>1</v>
      </c>
      <c r="P79" s="45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/>
      <c r="X79" s="6">
        <v>1</v>
      </c>
      <c r="Y79" s="6">
        <v>1</v>
      </c>
      <c r="Z79" s="6">
        <v>1</v>
      </c>
      <c r="AA79" s="45">
        <v>1</v>
      </c>
      <c r="AB79" s="6">
        <v>1</v>
      </c>
      <c r="AC79" s="6">
        <v>1</v>
      </c>
      <c r="AD79" s="6">
        <v>1</v>
      </c>
      <c r="AE79" s="7">
        <v>4.21</v>
      </c>
      <c r="AF79" s="180">
        <v>1.573</v>
      </c>
      <c r="AG79" s="16">
        <f t="shared" si="1"/>
        <v>11.6</v>
      </c>
      <c r="AH79" s="17">
        <f t="shared" si="2"/>
        <v>17.600000000000001</v>
      </c>
      <c r="AI79" s="16">
        <f t="shared" si="3"/>
        <v>31</v>
      </c>
      <c r="AJ79" s="5" t="s">
        <v>135</v>
      </c>
      <c r="AK79" s="13"/>
      <c r="AL79" s="95"/>
      <c r="AM79" s="131">
        <v>8</v>
      </c>
      <c r="AN79" s="104">
        <v>8</v>
      </c>
      <c r="AO79" s="218">
        <v>0</v>
      </c>
      <c r="AP79" s="159">
        <v>10</v>
      </c>
      <c r="AQ79" s="145">
        <v>10</v>
      </c>
      <c r="AR79" s="219">
        <v>0</v>
      </c>
      <c r="AS79" s="131">
        <v>10</v>
      </c>
      <c r="AT79" s="165">
        <v>10</v>
      </c>
      <c r="AU79" s="220">
        <v>0</v>
      </c>
      <c r="AV79" s="222">
        <f t="shared" si="38"/>
        <v>0</v>
      </c>
    </row>
    <row r="80" spans="1:48" ht="18.75" customHeight="1" x14ac:dyDescent="0.3">
      <c r="A80" s="29">
        <v>26</v>
      </c>
      <c r="B80" s="126" t="s">
        <v>743</v>
      </c>
      <c r="C80" s="18" t="s">
        <v>71</v>
      </c>
      <c r="D80" s="19" t="s">
        <v>72</v>
      </c>
      <c r="E80" s="20" t="s">
        <v>744</v>
      </c>
      <c r="F80" s="6"/>
      <c r="G80" s="45"/>
      <c r="H80" s="6"/>
      <c r="I80" s="45">
        <v>1</v>
      </c>
      <c r="J80" s="6"/>
      <c r="K80" s="6"/>
      <c r="L80" s="45">
        <v>1</v>
      </c>
      <c r="M80" s="6"/>
      <c r="N80" s="6"/>
      <c r="O80" s="6">
        <v>1</v>
      </c>
      <c r="P80" s="45">
        <v>1</v>
      </c>
      <c r="Q80" s="6"/>
      <c r="R80" s="6"/>
      <c r="S80" s="6"/>
      <c r="T80" s="6">
        <v>1</v>
      </c>
      <c r="U80" s="6">
        <v>1</v>
      </c>
      <c r="V80" s="6">
        <v>1</v>
      </c>
      <c r="W80" s="6"/>
      <c r="X80" s="6"/>
      <c r="Y80" s="6"/>
      <c r="Z80" s="6"/>
      <c r="AA80" s="45">
        <v>1</v>
      </c>
      <c r="AB80" s="6"/>
      <c r="AC80" s="6"/>
      <c r="AD80" s="6">
        <v>1</v>
      </c>
      <c r="AE80" s="7">
        <v>0.97</v>
      </c>
      <c r="AF80" s="7"/>
      <c r="AG80" s="16">
        <f t="shared" si="1"/>
        <v>5.7</v>
      </c>
      <c r="AH80" s="17">
        <f t="shared" si="2"/>
        <v>11.7</v>
      </c>
      <c r="AI80" s="16">
        <f t="shared" si="3"/>
        <v>20</v>
      </c>
      <c r="AJ80" s="5" t="s">
        <v>135</v>
      </c>
      <c r="AK80" s="13"/>
      <c r="AL80" s="95"/>
      <c r="AM80" s="97"/>
      <c r="AN80" s="104"/>
      <c r="AO80" s="218"/>
      <c r="AP80" s="159">
        <v>10</v>
      </c>
      <c r="AQ80" s="145">
        <v>10</v>
      </c>
      <c r="AR80" s="219">
        <v>0</v>
      </c>
      <c r="AS80" s="97"/>
      <c r="AT80" s="165"/>
      <c r="AU80" s="220"/>
      <c r="AV80" s="222">
        <f t="shared" si="38"/>
        <v>0</v>
      </c>
    </row>
    <row r="81" spans="1:48" ht="18.75" customHeight="1" x14ac:dyDescent="0.3">
      <c r="A81" s="29">
        <v>31</v>
      </c>
      <c r="B81" s="24" t="s">
        <v>48</v>
      </c>
      <c r="C81" s="18" t="s">
        <v>91</v>
      </c>
      <c r="D81" s="19" t="s">
        <v>92</v>
      </c>
      <c r="E81" s="20" t="s">
        <v>120</v>
      </c>
      <c r="F81" s="6">
        <v>1</v>
      </c>
      <c r="G81" s="45"/>
      <c r="H81" s="6"/>
      <c r="I81" s="45"/>
      <c r="J81" s="6"/>
      <c r="K81" s="6">
        <v>1</v>
      </c>
      <c r="L81" s="45"/>
      <c r="M81" s="6"/>
      <c r="N81" s="6"/>
      <c r="O81" s="6"/>
      <c r="P81" s="45"/>
      <c r="Q81" s="6"/>
      <c r="R81" s="6">
        <v>1</v>
      </c>
      <c r="S81" s="6">
        <v>1</v>
      </c>
      <c r="T81" s="6"/>
      <c r="U81" s="6"/>
      <c r="V81" s="6"/>
      <c r="W81" s="6"/>
      <c r="X81" s="6"/>
      <c r="Y81" s="6"/>
      <c r="Z81" s="6">
        <v>1</v>
      </c>
      <c r="AA81" s="45"/>
      <c r="AB81" s="6"/>
      <c r="AC81" s="6">
        <v>1</v>
      </c>
      <c r="AD81" s="6"/>
      <c r="AE81" s="7">
        <v>2.5089999999999999</v>
      </c>
      <c r="AF81" s="7"/>
      <c r="AG81" s="16">
        <f t="shared" si="1"/>
        <v>8.5</v>
      </c>
      <c r="AH81" s="17">
        <f t="shared" si="2"/>
        <v>14.5</v>
      </c>
      <c r="AI81" s="16">
        <f t="shared" si="3"/>
        <v>25</v>
      </c>
      <c r="AJ81" s="5" t="s">
        <v>135</v>
      </c>
      <c r="AK81" s="13"/>
      <c r="AL81" s="95"/>
      <c r="AM81" s="131">
        <v>3</v>
      </c>
      <c r="AN81" s="104">
        <v>3</v>
      </c>
      <c r="AO81" s="218">
        <v>0</v>
      </c>
      <c r="AP81" s="159">
        <v>2</v>
      </c>
      <c r="AQ81" s="145">
        <v>2</v>
      </c>
      <c r="AR81" s="219">
        <v>0</v>
      </c>
      <c r="AS81" s="97"/>
      <c r="AT81" s="165"/>
      <c r="AU81" s="220"/>
      <c r="AV81" s="222">
        <f t="shared" si="38"/>
        <v>0</v>
      </c>
    </row>
    <row r="82" spans="1:48" ht="18.75" customHeight="1" x14ac:dyDescent="0.3">
      <c r="A82" s="29">
        <v>31</v>
      </c>
      <c r="B82" s="125" t="s">
        <v>748</v>
      </c>
      <c r="C82" s="18" t="s">
        <v>79</v>
      </c>
      <c r="D82" s="19" t="s">
        <v>80</v>
      </c>
      <c r="E82" s="20" t="s">
        <v>750</v>
      </c>
      <c r="F82" s="6"/>
      <c r="G82" s="45"/>
      <c r="H82" s="6"/>
      <c r="I82" s="45">
        <v>1</v>
      </c>
      <c r="J82" s="6"/>
      <c r="K82" s="6"/>
      <c r="L82" s="45">
        <v>1</v>
      </c>
      <c r="M82" s="6"/>
      <c r="N82" s="6"/>
      <c r="O82" s="6">
        <v>1</v>
      </c>
      <c r="P82" s="45"/>
      <c r="Q82" s="6"/>
      <c r="R82" s="6"/>
      <c r="S82" s="6"/>
      <c r="T82" s="6">
        <v>1</v>
      </c>
      <c r="U82" s="6">
        <v>1</v>
      </c>
      <c r="V82" s="6"/>
      <c r="W82" s="6"/>
      <c r="X82" s="6">
        <v>1</v>
      </c>
      <c r="Y82" s="6"/>
      <c r="Z82" s="6"/>
      <c r="AA82" s="45">
        <v>1</v>
      </c>
      <c r="AB82" s="6"/>
      <c r="AC82" s="6"/>
      <c r="AD82" s="6">
        <v>1</v>
      </c>
      <c r="AE82" s="7">
        <v>0.46</v>
      </c>
      <c r="AF82" s="180">
        <v>0.81900000000000006</v>
      </c>
      <c r="AG82" s="16">
        <f t="shared" ref="AG82:AG83" si="39">ROUND((AE82*1.2*1.5+4)*10,0)/10</f>
        <v>4.8</v>
      </c>
      <c r="AH82" s="17">
        <f t="shared" ref="AH82:AH83" si="40">ROUND((AE82*1.2*1.5+10)*10,0)/10</f>
        <v>10.8</v>
      </c>
      <c r="AI82" s="16">
        <f t="shared" ref="AI82:AI83" si="41">ROUND(AH82/0.7*1.22,0)</f>
        <v>19</v>
      </c>
      <c r="AJ82" s="5" t="s">
        <v>135</v>
      </c>
      <c r="AK82" s="13"/>
      <c r="AL82" s="95"/>
      <c r="AM82" s="97"/>
      <c r="AN82" s="104"/>
      <c r="AO82" s="218"/>
      <c r="AP82" s="159">
        <v>2</v>
      </c>
      <c r="AQ82" s="145">
        <v>2</v>
      </c>
      <c r="AR82" s="219">
        <v>0</v>
      </c>
      <c r="AS82" s="131">
        <v>3</v>
      </c>
      <c r="AT82" s="165">
        <v>3</v>
      </c>
      <c r="AU82" s="220">
        <v>0</v>
      </c>
      <c r="AV82" s="222">
        <f t="shared" si="38"/>
        <v>0</v>
      </c>
    </row>
    <row r="83" spans="1:48" ht="18.75" customHeight="1" x14ac:dyDescent="0.3">
      <c r="A83" s="147">
        <v>31</v>
      </c>
      <c r="B83" s="149" t="s">
        <v>886</v>
      </c>
      <c r="C83" s="18" t="s">
        <v>91</v>
      </c>
      <c r="D83" s="19" t="s">
        <v>92</v>
      </c>
      <c r="E83" s="20" t="s">
        <v>120</v>
      </c>
      <c r="F83" s="6"/>
      <c r="G83" s="45"/>
      <c r="H83" s="6">
        <v>1</v>
      </c>
      <c r="I83" s="45"/>
      <c r="J83" s="6"/>
      <c r="K83" s="6"/>
      <c r="L83" s="45"/>
      <c r="M83" s="6"/>
      <c r="N83" s="6">
        <v>1</v>
      </c>
      <c r="O83" s="6"/>
      <c r="P83" s="45"/>
      <c r="Q83" s="6"/>
      <c r="R83" s="6"/>
      <c r="S83" s="6"/>
      <c r="T83" s="6"/>
      <c r="U83" s="6"/>
      <c r="V83" s="6"/>
      <c r="W83" s="6"/>
      <c r="X83" s="6"/>
      <c r="Y83" s="6"/>
      <c r="Z83" s="6"/>
      <c r="AA83" s="45"/>
      <c r="AB83" s="6"/>
      <c r="AC83" s="6"/>
      <c r="AD83" s="6"/>
      <c r="AE83" s="7">
        <v>2.2400000000000002</v>
      </c>
      <c r="AF83" s="7"/>
      <c r="AG83" s="16">
        <f t="shared" si="39"/>
        <v>8</v>
      </c>
      <c r="AH83" s="17">
        <f t="shared" si="40"/>
        <v>14</v>
      </c>
      <c r="AI83" s="16">
        <f t="shared" si="41"/>
        <v>24</v>
      </c>
      <c r="AJ83" s="5" t="s">
        <v>135</v>
      </c>
      <c r="AK83" s="13"/>
      <c r="AL83" s="95"/>
      <c r="AM83" s="97"/>
      <c r="AN83" s="104"/>
      <c r="AO83" s="218"/>
      <c r="AP83" s="144"/>
      <c r="AQ83" s="145"/>
      <c r="AR83" s="219"/>
      <c r="AS83" s="131">
        <v>5</v>
      </c>
      <c r="AT83" s="165">
        <v>5</v>
      </c>
      <c r="AU83" s="220">
        <v>0</v>
      </c>
      <c r="AV83" s="222">
        <f t="shared" si="38"/>
        <v>0</v>
      </c>
    </row>
    <row r="84" spans="1:48" ht="18.75" customHeight="1" x14ac:dyDescent="0.3">
      <c r="A84" s="29">
        <v>32</v>
      </c>
      <c r="B84" s="24" t="s">
        <v>626</v>
      </c>
      <c r="C84" s="18" t="s">
        <v>93</v>
      </c>
      <c r="D84" s="19" t="s">
        <v>94</v>
      </c>
      <c r="E84" s="20" t="s">
        <v>121</v>
      </c>
      <c r="F84" s="6">
        <v>1</v>
      </c>
      <c r="G84" s="45">
        <v>1</v>
      </c>
      <c r="H84" s="6"/>
      <c r="I84" s="45"/>
      <c r="J84" s="6"/>
      <c r="K84" s="6"/>
      <c r="L84" s="45"/>
      <c r="M84" s="6"/>
      <c r="N84" s="6"/>
      <c r="O84" s="6"/>
      <c r="P84" s="45"/>
      <c r="Q84" s="6"/>
      <c r="R84" s="6"/>
      <c r="S84" s="6"/>
      <c r="T84" s="6"/>
      <c r="U84" s="6"/>
      <c r="V84" s="6"/>
      <c r="W84" s="6"/>
      <c r="X84" s="6"/>
      <c r="Y84" s="6"/>
      <c r="Z84" s="6"/>
      <c r="AA84" s="45"/>
      <c r="AB84" s="6"/>
      <c r="AC84" s="6"/>
      <c r="AD84" s="6"/>
      <c r="AE84" s="7">
        <v>0.66</v>
      </c>
      <c r="AF84" s="7"/>
      <c r="AG84" s="16">
        <f t="shared" si="1"/>
        <v>5.2</v>
      </c>
      <c r="AH84" s="17">
        <f t="shared" si="2"/>
        <v>11.2</v>
      </c>
      <c r="AI84" s="16">
        <f t="shared" si="3"/>
        <v>20</v>
      </c>
      <c r="AJ84" s="5" t="s">
        <v>135</v>
      </c>
      <c r="AK84" s="13"/>
      <c r="AL84" s="95"/>
      <c r="AM84" s="131">
        <v>4</v>
      </c>
      <c r="AN84" s="104">
        <v>4</v>
      </c>
      <c r="AO84" s="218">
        <v>0</v>
      </c>
      <c r="AP84" s="144"/>
      <c r="AQ84" s="145"/>
      <c r="AR84" s="219"/>
      <c r="AS84" s="97"/>
      <c r="AT84" s="165"/>
      <c r="AU84" s="220"/>
      <c r="AV84" s="222">
        <f t="shared" si="38"/>
        <v>0</v>
      </c>
    </row>
    <row r="85" spans="1:48" ht="18.75" customHeight="1" x14ac:dyDescent="0.3">
      <c r="A85" s="29">
        <v>32</v>
      </c>
      <c r="B85" s="125" t="s">
        <v>749</v>
      </c>
      <c r="C85" s="18" t="s">
        <v>79</v>
      </c>
      <c r="D85" s="19" t="s">
        <v>80</v>
      </c>
      <c r="E85" s="20" t="s">
        <v>751</v>
      </c>
      <c r="F85" s="6"/>
      <c r="G85" s="45"/>
      <c r="H85" s="6"/>
      <c r="I85" s="45">
        <v>1</v>
      </c>
      <c r="J85" s="6"/>
      <c r="K85" s="6"/>
      <c r="L85" s="45">
        <v>1</v>
      </c>
      <c r="M85" s="6"/>
      <c r="N85" s="6"/>
      <c r="O85" s="6">
        <v>1</v>
      </c>
      <c r="P85" s="45"/>
      <c r="Q85" s="6"/>
      <c r="R85" s="6"/>
      <c r="S85" s="6"/>
      <c r="T85" s="6">
        <v>1</v>
      </c>
      <c r="U85" s="6">
        <v>1</v>
      </c>
      <c r="V85" s="6"/>
      <c r="W85" s="6"/>
      <c r="X85" s="6">
        <v>1</v>
      </c>
      <c r="Y85" s="6"/>
      <c r="Z85" s="6"/>
      <c r="AA85" s="45">
        <v>1</v>
      </c>
      <c r="AB85" s="6"/>
      <c r="AC85" s="6"/>
      <c r="AD85" s="6">
        <v>1</v>
      </c>
      <c r="AE85" s="7">
        <v>0.39</v>
      </c>
      <c r="AF85" s="180">
        <v>6.5000000000000002E-2</v>
      </c>
      <c r="AG85" s="16">
        <f t="shared" si="1"/>
        <v>4.7</v>
      </c>
      <c r="AH85" s="17">
        <f t="shared" si="2"/>
        <v>10.7</v>
      </c>
      <c r="AI85" s="16">
        <f t="shared" si="3"/>
        <v>19</v>
      </c>
      <c r="AJ85" s="5" t="s">
        <v>135</v>
      </c>
      <c r="AK85" s="13"/>
      <c r="AL85" s="95"/>
      <c r="AM85" s="97"/>
      <c r="AN85" s="104"/>
      <c r="AO85" s="218"/>
      <c r="AP85" s="159">
        <v>2</v>
      </c>
      <c r="AQ85" s="145">
        <v>2</v>
      </c>
      <c r="AR85" s="219">
        <v>0</v>
      </c>
      <c r="AS85" s="131">
        <v>3</v>
      </c>
      <c r="AT85" s="165">
        <v>3</v>
      </c>
      <c r="AU85" s="220">
        <v>0</v>
      </c>
      <c r="AV85" s="222">
        <f t="shared" si="38"/>
        <v>0</v>
      </c>
    </row>
    <row r="86" spans="1:48" ht="18.75" customHeight="1" x14ac:dyDescent="0.3">
      <c r="A86" s="29">
        <v>33</v>
      </c>
      <c r="B86" s="24" t="s">
        <v>49</v>
      </c>
      <c r="C86" s="18" t="s">
        <v>79</v>
      </c>
      <c r="D86" s="19" t="s">
        <v>80</v>
      </c>
      <c r="E86" s="20" t="s">
        <v>122</v>
      </c>
      <c r="F86" s="6">
        <v>1</v>
      </c>
      <c r="G86" s="45"/>
      <c r="H86" s="6">
        <v>1</v>
      </c>
      <c r="I86" s="45"/>
      <c r="J86" s="6"/>
      <c r="K86" s="6">
        <v>1</v>
      </c>
      <c r="L86" s="45"/>
      <c r="M86" s="6"/>
      <c r="N86" s="6">
        <v>1</v>
      </c>
      <c r="O86" s="6"/>
      <c r="P86" s="45"/>
      <c r="Q86" s="6"/>
      <c r="R86" s="6">
        <v>1</v>
      </c>
      <c r="S86" s="6">
        <v>1</v>
      </c>
      <c r="T86" s="6"/>
      <c r="U86" s="6"/>
      <c r="V86" s="6"/>
      <c r="W86" s="6"/>
      <c r="X86" s="6"/>
      <c r="Y86" s="6"/>
      <c r="Z86" s="6">
        <v>1</v>
      </c>
      <c r="AA86" s="45"/>
      <c r="AB86" s="6"/>
      <c r="AC86" s="6">
        <v>1</v>
      </c>
      <c r="AD86" s="6"/>
      <c r="AE86" s="7">
        <v>0.77</v>
      </c>
      <c r="AF86" s="7"/>
      <c r="AG86" s="16">
        <f t="shared" ref="AG86:AG139" si="42">ROUND((AE86*1.2*1.5+4)*10,0)/10</f>
        <v>5.4</v>
      </c>
      <c r="AH86" s="17">
        <f t="shared" ref="AH86:AH139" si="43">ROUND((AE86*1.2*1.5+10)*10,0)/10</f>
        <v>11.4</v>
      </c>
      <c r="AI86" s="16">
        <f t="shared" ref="AI86:AI139" si="44">ROUND(AH86/0.7*1.22,0)</f>
        <v>20</v>
      </c>
      <c r="AJ86" s="5" t="s">
        <v>135</v>
      </c>
      <c r="AK86" s="13"/>
      <c r="AL86" s="95"/>
      <c r="AM86" s="131">
        <v>3</v>
      </c>
      <c r="AN86" s="104">
        <v>3</v>
      </c>
      <c r="AO86" s="218">
        <v>0</v>
      </c>
      <c r="AP86" s="159">
        <v>2</v>
      </c>
      <c r="AQ86" s="145">
        <v>2</v>
      </c>
      <c r="AR86" s="219">
        <v>0</v>
      </c>
      <c r="AS86" s="97"/>
      <c r="AT86" s="165"/>
      <c r="AU86" s="220"/>
      <c r="AV86" s="222">
        <f t="shared" si="38"/>
        <v>0</v>
      </c>
    </row>
    <row r="87" spans="1:48" ht="18.75" customHeight="1" x14ac:dyDescent="0.3">
      <c r="A87" s="29">
        <v>33</v>
      </c>
      <c r="B87" s="125" t="s">
        <v>752</v>
      </c>
      <c r="C87" s="18" t="s">
        <v>79</v>
      </c>
      <c r="D87" s="19" t="s">
        <v>80</v>
      </c>
      <c r="E87" s="20" t="s">
        <v>753</v>
      </c>
      <c r="F87" s="6"/>
      <c r="G87" s="45"/>
      <c r="H87" s="6"/>
      <c r="I87" s="45">
        <v>1</v>
      </c>
      <c r="J87" s="6"/>
      <c r="K87" s="6"/>
      <c r="L87" s="45">
        <v>1</v>
      </c>
      <c r="M87" s="6"/>
      <c r="N87" s="6"/>
      <c r="O87" s="6"/>
      <c r="P87" s="45"/>
      <c r="Q87" s="6"/>
      <c r="R87" s="6"/>
      <c r="S87" s="6"/>
      <c r="T87" s="6">
        <v>1</v>
      </c>
      <c r="U87" s="6">
        <v>1</v>
      </c>
      <c r="V87" s="6"/>
      <c r="W87" s="6"/>
      <c r="X87" s="6"/>
      <c r="Y87" s="6"/>
      <c r="Z87" s="6"/>
      <c r="AA87" s="45">
        <v>1</v>
      </c>
      <c r="AB87" s="6"/>
      <c r="AC87" s="6"/>
      <c r="AD87" s="6">
        <v>1</v>
      </c>
      <c r="AE87" s="7">
        <v>0.92</v>
      </c>
      <c r="AF87" s="7"/>
      <c r="AG87" s="16">
        <f t="shared" si="42"/>
        <v>5.7</v>
      </c>
      <c r="AH87" s="17">
        <f t="shared" si="43"/>
        <v>11.7</v>
      </c>
      <c r="AI87" s="16">
        <f t="shared" si="44"/>
        <v>20</v>
      </c>
      <c r="AJ87" s="5" t="s">
        <v>135</v>
      </c>
      <c r="AK87" s="13"/>
      <c r="AL87" s="95"/>
      <c r="AM87" s="97"/>
      <c r="AN87" s="104"/>
      <c r="AO87" s="218"/>
      <c r="AP87" s="159">
        <v>2</v>
      </c>
      <c r="AQ87" s="145">
        <v>2</v>
      </c>
      <c r="AR87" s="219">
        <v>0</v>
      </c>
      <c r="AS87" s="131">
        <v>3</v>
      </c>
      <c r="AT87" s="165">
        <v>3</v>
      </c>
      <c r="AU87" s="220">
        <v>0</v>
      </c>
      <c r="AV87" s="222">
        <f t="shared" si="38"/>
        <v>0</v>
      </c>
    </row>
    <row r="88" spans="1:48" ht="18.75" customHeight="1" x14ac:dyDescent="0.3">
      <c r="A88" s="29">
        <v>34</v>
      </c>
      <c r="B88" s="24" t="s">
        <v>50</v>
      </c>
      <c r="C88" s="18" t="s">
        <v>79</v>
      </c>
      <c r="D88" s="19" t="s">
        <v>80</v>
      </c>
      <c r="E88" s="20" t="s">
        <v>123</v>
      </c>
      <c r="F88" s="6">
        <v>1</v>
      </c>
      <c r="G88" s="45"/>
      <c r="H88" s="6">
        <v>1</v>
      </c>
      <c r="I88" s="45"/>
      <c r="J88" s="6"/>
      <c r="K88" s="6"/>
      <c r="L88" s="45"/>
      <c r="M88" s="6"/>
      <c r="N88" s="6"/>
      <c r="O88" s="6"/>
      <c r="P88" s="45"/>
      <c r="Q88" s="6"/>
      <c r="R88" s="6"/>
      <c r="S88" s="6"/>
      <c r="T88" s="6"/>
      <c r="U88" s="6"/>
      <c r="V88" s="6"/>
      <c r="W88" s="6"/>
      <c r="X88" s="6"/>
      <c r="Y88" s="6"/>
      <c r="Z88" s="6"/>
      <c r="AA88" s="45"/>
      <c r="AB88" s="6"/>
      <c r="AC88" s="6"/>
      <c r="AD88" s="6"/>
      <c r="AE88" s="7">
        <v>0.59800000000000009</v>
      </c>
      <c r="AF88" s="7"/>
      <c r="AG88" s="16">
        <f t="shared" si="42"/>
        <v>5.0999999999999996</v>
      </c>
      <c r="AH88" s="17">
        <f t="shared" si="43"/>
        <v>11.1</v>
      </c>
      <c r="AI88" s="16">
        <f t="shared" si="44"/>
        <v>19</v>
      </c>
      <c r="AJ88" s="5" t="s">
        <v>135</v>
      </c>
      <c r="AK88" s="13"/>
      <c r="AL88" s="95"/>
      <c r="AM88" s="131">
        <v>3</v>
      </c>
      <c r="AN88" s="104">
        <v>3</v>
      </c>
      <c r="AO88" s="218">
        <v>0</v>
      </c>
      <c r="AP88" s="144"/>
      <c r="AQ88" s="145"/>
      <c r="AR88" s="219"/>
      <c r="AS88" s="97"/>
      <c r="AT88" s="165"/>
      <c r="AU88" s="220"/>
      <c r="AV88" s="222">
        <f t="shared" si="38"/>
        <v>0</v>
      </c>
    </row>
    <row r="89" spans="1:48" ht="18.75" customHeight="1" x14ac:dyDescent="0.3">
      <c r="A89" s="29">
        <v>34</v>
      </c>
      <c r="B89" s="125" t="s">
        <v>754</v>
      </c>
      <c r="C89" s="18" t="s">
        <v>79</v>
      </c>
      <c r="D89" s="19" t="s">
        <v>80</v>
      </c>
      <c r="E89" s="20" t="s">
        <v>755</v>
      </c>
      <c r="F89" s="6"/>
      <c r="G89" s="45"/>
      <c r="H89" s="6"/>
      <c r="I89" s="45">
        <v>1</v>
      </c>
      <c r="J89" s="6"/>
      <c r="K89" s="6"/>
      <c r="L89" s="45">
        <v>1</v>
      </c>
      <c r="M89" s="6"/>
      <c r="N89" s="6"/>
      <c r="O89" s="6"/>
      <c r="P89" s="45"/>
      <c r="Q89" s="6"/>
      <c r="R89" s="6"/>
      <c r="S89" s="6"/>
      <c r="T89" s="6">
        <v>1</v>
      </c>
      <c r="U89" s="6">
        <v>1</v>
      </c>
      <c r="V89" s="6"/>
      <c r="W89" s="6"/>
      <c r="X89" s="6"/>
      <c r="Y89" s="6"/>
      <c r="Z89" s="6"/>
      <c r="AA89" s="45">
        <v>1</v>
      </c>
      <c r="AB89" s="6"/>
      <c r="AC89" s="6"/>
      <c r="AD89" s="6">
        <v>1</v>
      </c>
      <c r="AE89" s="7">
        <v>0.37</v>
      </c>
      <c r="AF89" s="7"/>
      <c r="AG89" s="16">
        <f t="shared" si="42"/>
        <v>4.7</v>
      </c>
      <c r="AH89" s="17">
        <f t="shared" si="43"/>
        <v>10.7</v>
      </c>
      <c r="AI89" s="16">
        <f t="shared" si="44"/>
        <v>19</v>
      </c>
      <c r="AJ89" s="5" t="s">
        <v>135</v>
      </c>
      <c r="AK89" s="13"/>
      <c r="AL89" s="95"/>
      <c r="AM89" s="97"/>
      <c r="AN89" s="104"/>
      <c r="AO89" s="218"/>
      <c r="AP89" s="159">
        <v>2</v>
      </c>
      <c r="AQ89" s="145">
        <v>2</v>
      </c>
      <c r="AR89" s="219">
        <v>0</v>
      </c>
      <c r="AS89" s="131">
        <v>3</v>
      </c>
      <c r="AT89" s="165">
        <v>3</v>
      </c>
      <c r="AU89" s="220">
        <v>0</v>
      </c>
      <c r="AV89" s="222">
        <f t="shared" si="38"/>
        <v>0</v>
      </c>
    </row>
    <row r="90" spans="1:48" ht="18.75" customHeight="1" x14ac:dyDescent="0.3">
      <c r="A90" s="29" t="s">
        <v>758</v>
      </c>
      <c r="B90" s="26" t="s">
        <v>51</v>
      </c>
      <c r="C90" s="18" t="s">
        <v>79</v>
      </c>
      <c r="D90" s="19" t="s">
        <v>80</v>
      </c>
      <c r="E90" s="20" t="s">
        <v>759</v>
      </c>
      <c r="F90" s="6">
        <v>1</v>
      </c>
      <c r="G90" s="45"/>
      <c r="H90" s="6">
        <v>1</v>
      </c>
      <c r="I90" s="45"/>
      <c r="J90" s="6"/>
      <c r="K90" s="6">
        <v>1</v>
      </c>
      <c r="L90" s="45"/>
      <c r="M90" s="6"/>
      <c r="N90" s="6">
        <v>1</v>
      </c>
      <c r="O90" s="6"/>
      <c r="P90" s="45"/>
      <c r="Q90" s="6"/>
      <c r="R90" s="6">
        <v>1</v>
      </c>
      <c r="S90" s="6">
        <v>1</v>
      </c>
      <c r="T90" s="6"/>
      <c r="U90" s="6"/>
      <c r="V90" s="6"/>
      <c r="W90" s="6"/>
      <c r="X90" s="6"/>
      <c r="Y90" s="6"/>
      <c r="Z90" s="6">
        <v>1</v>
      </c>
      <c r="AA90" s="45"/>
      <c r="AB90" s="6"/>
      <c r="AC90" s="6">
        <v>1</v>
      </c>
      <c r="AD90" s="6"/>
      <c r="AE90" s="7">
        <v>0.39</v>
      </c>
      <c r="AF90" s="7"/>
      <c r="AG90" s="16">
        <f t="shared" si="42"/>
        <v>4.7</v>
      </c>
      <c r="AH90" s="17">
        <f t="shared" si="43"/>
        <v>10.7</v>
      </c>
      <c r="AI90" s="16">
        <f t="shared" si="44"/>
        <v>19</v>
      </c>
      <c r="AJ90" s="5" t="s">
        <v>135</v>
      </c>
      <c r="AK90" s="13"/>
      <c r="AL90" s="95"/>
      <c r="AM90" s="131">
        <v>3</v>
      </c>
      <c r="AN90" s="104">
        <v>3</v>
      </c>
      <c r="AO90" s="218">
        <v>0</v>
      </c>
      <c r="AP90" s="159">
        <v>2</v>
      </c>
      <c r="AQ90" s="145">
        <v>2</v>
      </c>
      <c r="AR90" s="219">
        <v>0</v>
      </c>
      <c r="AS90" s="97"/>
      <c r="AT90" s="165"/>
      <c r="AU90" s="220"/>
      <c r="AV90" s="222">
        <f t="shared" si="38"/>
        <v>0</v>
      </c>
    </row>
    <row r="91" spans="1:48" ht="18.75" customHeight="1" x14ac:dyDescent="0.3">
      <c r="A91" s="29">
        <v>35</v>
      </c>
      <c r="B91" s="125" t="s">
        <v>756</v>
      </c>
      <c r="C91" s="18" t="s">
        <v>79</v>
      </c>
      <c r="D91" s="19" t="s">
        <v>80</v>
      </c>
      <c r="E91" s="20" t="s">
        <v>757</v>
      </c>
      <c r="F91" s="6"/>
      <c r="G91" s="45"/>
      <c r="H91" s="6"/>
      <c r="I91" s="45">
        <v>1</v>
      </c>
      <c r="J91" s="6"/>
      <c r="K91" s="6"/>
      <c r="L91" s="45">
        <v>1</v>
      </c>
      <c r="M91" s="6"/>
      <c r="N91" s="6"/>
      <c r="O91" s="6"/>
      <c r="P91" s="45"/>
      <c r="Q91" s="6"/>
      <c r="R91" s="6"/>
      <c r="S91" s="6"/>
      <c r="T91" s="6">
        <v>1</v>
      </c>
      <c r="U91" s="6">
        <v>1</v>
      </c>
      <c r="V91" s="6"/>
      <c r="W91" s="6"/>
      <c r="X91" s="6"/>
      <c r="Y91" s="6"/>
      <c r="Z91" s="6"/>
      <c r="AA91" s="45">
        <v>1</v>
      </c>
      <c r="AB91" s="6"/>
      <c r="AC91" s="6"/>
      <c r="AD91" s="6">
        <v>1</v>
      </c>
      <c r="AE91" s="7">
        <v>0.41</v>
      </c>
      <c r="AF91" s="7"/>
      <c r="AG91" s="16">
        <f t="shared" si="42"/>
        <v>4.7</v>
      </c>
      <c r="AH91" s="17">
        <f t="shared" si="43"/>
        <v>10.7</v>
      </c>
      <c r="AI91" s="16">
        <f t="shared" si="44"/>
        <v>19</v>
      </c>
      <c r="AJ91" s="5" t="s">
        <v>135</v>
      </c>
      <c r="AK91" s="13"/>
      <c r="AL91" s="95"/>
      <c r="AM91" s="97"/>
      <c r="AN91" s="104"/>
      <c r="AO91" s="218"/>
      <c r="AP91" s="159">
        <v>2</v>
      </c>
      <c r="AQ91" s="145">
        <v>2</v>
      </c>
      <c r="AR91" s="219">
        <v>0</v>
      </c>
      <c r="AS91" s="131">
        <v>3</v>
      </c>
      <c r="AT91" s="165">
        <v>3</v>
      </c>
      <c r="AU91" s="220">
        <v>0</v>
      </c>
      <c r="AV91" s="222">
        <f t="shared" si="38"/>
        <v>0</v>
      </c>
    </row>
    <row r="92" spans="1:48" ht="18.75" customHeight="1" x14ac:dyDescent="0.3">
      <c r="A92" s="30">
        <v>38</v>
      </c>
      <c r="B92" s="26" t="s">
        <v>54</v>
      </c>
      <c r="C92" s="18" t="s">
        <v>61</v>
      </c>
      <c r="D92" s="19" t="s">
        <v>62</v>
      </c>
      <c r="E92" s="20" t="s">
        <v>127</v>
      </c>
      <c r="F92" s="6">
        <v>1</v>
      </c>
      <c r="G92" s="45">
        <v>1</v>
      </c>
      <c r="H92" s="6">
        <v>1</v>
      </c>
      <c r="I92" s="45">
        <v>1</v>
      </c>
      <c r="J92" s="6">
        <v>1</v>
      </c>
      <c r="K92" s="6">
        <v>1</v>
      </c>
      <c r="L92" s="45">
        <v>1</v>
      </c>
      <c r="M92" s="6">
        <v>1</v>
      </c>
      <c r="N92" s="6">
        <v>1</v>
      </c>
      <c r="O92" s="6">
        <v>1</v>
      </c>
      <c r="P92" s="45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/>
      <c r="W92" s="6"/>
      <c r="X92" s="6">
        <v>1</v>
      </c>
      <c r="Y92" s="6">
        <v>1</v>
      </c>
      <c r="Z92" s="6">
        <v>1</v>
      </c>
      <c r="AA92" s="45">
        <v>1</v>
      </c>
      <c r="AB92" s="6">
        <v>1</v>
      </c>
      <c r="AC92" s="6">
        <v>1</v>
      </c>
      <c r="AD92" s="6">
        <v>1</v>
      </c>
      <c r="AE92" s="7">
        <v>0.11</v>
      </c>
      <c r="AF92" s="180">
        <v>0.377</v>
      </c>
      <c r="AG92" s="16">
        <f t="shared" si="42"/>
        <v>4.2</v>
      </c>
      <c r="AH92" s="17">
        <f t="shared" si="43"/>
        <v>10.199999999999999</v>
      </c>
      <c r="AI92" s="16">
        <f t="shared" si="44"/>
        <v>18</v>
      </c>
      <c r="AJ92" s="5" t="s">
        <v>135</v>
      </c>
      <c r="AK92" s="13"/>
      <c r="AL92" s="95"/>
      <c r="AM92" s="131">
        <v>10</v>
      </c>
      <c r="AN92" s="104">
        <v>10</v>
      </c>
      <c r="AO92" s="218">
        <v>0</v>
      </c>
      <c r="AP92" s="159">
        <v>20</v>
      </c>
      <c r="AQ92" s="145">
        <v>20</v>
      </c>
      <c r="AR92" s="219">
        <v>0</v>
      </c>
      <c r="AS92" s="97"/>
      <c r="AT92" s="165"/>
      <c r="AU92" s="220"/>
      <c r="AV92" s="222">
        <f t="shared" si="38"/>
        <v>0</v>
      </c>
    </row>
    <row r="93" spans="1:48" ht="18.75" customHeight="1" x14ac:dyDescent="0.3">
      <c r="A93" s="30" t="s">
        <v>21</v>
      </c>
      <c r="B93" s="26" t="s">
        <v>55</v>
      </c>
      <c r="C93" s="18" t="s">
        <v>61</v>
      </c>
      <c r="D93" s="19" t="s">
        <v>62</v>
      </c>
      <c r="E93" s="20" t="s">
        <v>128</v>
      </c>
      <c r="F93" s="6">
        <v>1</v>
      </c>
      <c r="G93" s="45">
        <v>1</v>
      </c>
      <c r="H93" s="6">
        <v>1</v>
      </c>
      <c r="I93" s="45">
        <v>1</v>
      </c>
      <c r="J93" s="6">
        <v>1</v>
      </c>
      <c r="K93" s="6">
        <v>1</v>
      </c>
      <c r="L93" s="45">
        <v>1</v>
      </c>
      <c r="M93" s="6">
        <v>1</v>
      </c>
      <c r="N93" s="6">
        <v>2</v>
      </c>
      <c r="O93" s="6">
        <v>1</v>
      </c>
      <c r="P93" s="45">
        <v>1</v>
      </c>
      <c r="Q93" s="6"/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/>
      <c r="X93" s="6">
        <v>1</v>
      </c>
      <c r="Y93" s="6">
        <v>1</v>
      </c>
      <c r="Z93" s="6">
        <v>1</v>
      </c>
      <c r="AA93" s="45">
        <v>1</v>
      </c>
      <c r="AB93" s="6">
        <v>1</v>
      </c>
      <c r="AC93" s="6">
        <v>1</v>
      </c>
      <c r="AD93" s="6">
        <v>1</v>
      </c>
      <c r="AE93" s="7">
        <v>0.12</v>
      </c>
      <c r="AF93" s="180">
        <v>0.49400000000000005</v>
      </c>
      <c r="AG93" s="16">
        <f t="shared" si="42"/>
        <v>4.2</v>
      </c>
      <c r="AH93" s="17">
        <f t="shared" si="43"/>
        <v>10.199999999999999</v>
      </c>
      <c r="AI93" s="16">
        <f t="shared" si="44"/>
        <v>18</v>
      </c>
      <c r="AJ93" s="5" t="s">
        <v>135</v>
      </c>
      <c r="AK93" s="13"/>
      <c r="AL93" s="95"/>
      <c r="AM93" s="131">
        <v>10</v>
      </c>
      <c r="AN93" s="104">
        <v>10</v>
      </c>
      <c r="AO93" s="218">
        <v>0</v>
      </c>
      <c r="AP93" s="159">
        <v>20</v>
      </c>
      <c r="AQ93" s="145">
        <v>20</v>
      </c>
      <c r="AR93" s="219">
        <v>0</v>
      </c>
      <c r="AS93" s="97"/>
      <c r="AT93" s="165"/>
      <c r="AU93" s="220"/>
      <c r="AV93" s="222">
        <f t="shared" si="38"/>
        <v>0</v>
      </c>
    </row>
    <row r="94" spans="1:48" ht="18.75" customHeight="1" x14ac:dyDescent="0.3">
      <c r="A94" s="30">
        <v>39</v>
      </c>
      <c r="B94" s="26" t="s">
        <v>56</v>
      </c>
      <c r="C94" s="18" t="s">
        <v>61</v>
      </c>
      <c r="D94" s="19" t="s">
        <v>62</v>
      </c>
      <c r="E94" s="20" t="s">
        <v>129</v>
      </c>
      <c r="F94" s="6">
        <v>1</v>
      </c>
      <c r="G94" s="45">
        <v>1</v>
      </c>
      <c r="H94" s="6">
        <v>2</v>
      </c>
      <c r="I94" s="45">
        <v>1</v>
      </c>
      <c r="J94" s="6">
        <v>1</v>
      </c>
      <c r="K94" s="6"/>
      <c r="L94" s="45">
        <v>1</v>
      </c>
      <c r="M94" s="6">
        <v>1</v>
      </c>
      <c r="N94" s="6"/>
      <c r="O94" s="6">
        <v>1</v>
      </c>
      <c r="P94" s="45">
        <v>1</v>
      </c>
      <c r="Q94" s="6">
        <v>1</v>
      </c>
      <c r="R94" s="6"/>
      <c r="S94" s="6"/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/>
      <c r="AA94" s="45">
        <v>1</v>
      </c>
      <c r="AB94" s="6">
        <v>1</v>
      </c>
      <c r="AC94" s="6"/>
      <c r="AD94" s="6">
        <v>1</v>
      </c>
      <c r="AE94" s="7">
        <v>0.08</v>
      </c>
      <c r="AF94" s="180">
        <v>0.71500000000000008</v>
      </c>
      <c r="AG94" s="16">
        <f t="shared" si="42"/>
        <v>4.0999999999999996</v>
      </c>
      <c r="AH94" s="17">
        <f t="shared" si="43"/>
        <v>10.1</v>
      </c>
      <c r="AI94" s="16">
        <f t="shared" si="44"/>
        <v>18</v>
      </c>
      <c r="AJ94" s="5" t="s">
        <v>135</v>
      </c>
      <c r="AK94" s="13"/>
      <c r="AL94" s="95"/>
      <c r="AM94" s="131">
        <v>10</v>
      </c>
      <c r="AN94" s="104">
        <v>10</v>
      </c>
      <c r="AO94" s="218">
        <v>0</v>
      </c>
      <c r="AP94" s="159">
        <v>20</v>
      </c>
      <c r="AQ94" s="145">
        <v>20</v>
      </c>
      <c r="AR94" s="219">
        <v>0</v>
      </c>
      <c r="AS94" s="97"/>
      <c r="AT94" s="165"/>
      <c r="AU94" s="220"/>
      <c r="AV94" s="222">
        <f t="shared" si="38"/>
        <v>0</v>
      </c>
    </row>
    <row r="95" spans="1:48" ht="18.75" customHeight="1" x14ac:dyDescent="0.3">
      <c r="A95" s="29">
        <v>46</v>
      </c>
      <c r="B95" s="126" t="s">
        <v>766</v>
      </c>
      <c r="C95" s="18" t="s">
        <v>61</v>
      </c>
      <c r="D95" s="19" t="s">
        <v>62</v>
      </c>
      <c r="E95" s="20" t="s">
        <v>768</v>
      </c>
      <c r="F95" s="6"/>
      <c r="G95" s="45"/>
      <c r="H95" s="6"/>
      <c r="I95" s="45">
        <v>1</v>
      </c>
      <c r="J95" s="6"/>
      <c r="K95" s="6"/>
      <c r="L95" s="45">
        <v>1</v>
      </c>
      <c r="M95" s="6"/>
      <c r="N95" s="6"/>
      <c r="O95" s="6">
        <v>1</v>
      </c>
      <c r="P95" s="45">
        <v>1</v>
      </c>
      <c r="Q95" s="6"/>
      <c r="R95" s="6"/>
      <c r="S95" s="6"/>
      <c r="T95" s="6">
        <v>1</v>
      </c>
      <c r="U95" s="6">
        <v>1</v>
      </c>
      <c r="V95" s="6"/>
      <c r="W95" s="6"/>
      <c r="X95" s="6">
        <v>1</v>
      </c>
      <c r="Y95" s="6"/>
      <c r="Z95" s="6"/>
      <c r="AA95" s="45">
        <v>1</v>
      </c>
      <c r="AB95" s="6"/>
      <c r="AC95" s="6"/>
      <c r="AD95" s="6">
        <v>1</v>
      </c>
      <c r="AE95" s="7">
        <v>0.08</v>
      </c>
      <c r="AF95" s="7"/>
      <c r="AG95" s="16">
        <f t="shared" ref="AG95:AG96" si="45">ROUND((AE95*1.2*1.5+4)*10,0)/10</f>
        <v>4.0999999999999996</v>
      </c>
      <c r="AH95" s="17">
        <f t="shared" ref="AH95:AH96" si="46">ROUND((AE95*1.2*1.5+10)*10,0)/10</f>
        <v>10.1</v>
      </c>
      <c r="AI95" s="16">
        <f t="shared" ref="AI95:AI96" si="47">ROUND(AH95/0.7*1.22,0)</f>
        <v>18</v>
      </c>
      <c r="AJ95" s="5" t="s">
        <v>135</v>
      </c>
      <c r="AK95" s="13"/>
      <c r="AL95" s="95"/>
      <c r="AM95" s="97"/>
      <c r="AN95" s="104"/>
      <c r="AO95" s="218"/>
      <c r="AP95" s="159">
        <v>10</v>
      </c>
      <c r="AQ95" s="145">
        <v>10</v>
      </c>
      <c r="AR95" s="219">
        <v>0</v>
      </c>
      <c r="AS95" s="97"/>
      <c r="AT95" s="165"/>
      <c r="AU95" s="220"/>
      <c r="AV95" s="222">
        <f t="shared" si="38"/>
        <v>0</v>
      </c>
    </row>
    <row r="96" spans="1:48" ht="18.75" customHeight="1" x14ac:dyDescent="0.3">
      <c r="A96" s="29">
        <v>46</v>
      </c>
      <c r="B96" s="126" t="s">
        <v>767</v>
      </c>
      <c r="C96" s="18" t="s">
        <v>61</v>
      </c>
      <c r="D96" s="19" t="s">
        <v>62</v>
      </c>
      <c r="E96" s="20" t="s">
        <v>769</v>
      </c>
      <c r="F96" s="6"/>
      <c r="G96" s="45"/>
      <c r="H96" s="6"/>
      <c r="I96" s="45">
        <v>1</v>
      </c>
      <c r="J96" s="6"/>
      <c r="K96" s="6"/>
      <c r="L96" s="45">
        <v>1</v>
      </c>
      <c r="M96" s="6"/>
      <c r="N96" s="6"/>
      <c r="O96" s="6">
        <v>1</v>
      </c>
      <c r="P96" s="45">
        <v>1</v>
      </c>
      <c r="Q96" s="6"/>
      <c r="R96" s="6"/>
      <c r="S96" s="6"/>
      <c r="T96" s="6">
        <v>1</v>
      </c>
      <c r="U96" s="6">
        <v>1</v>
      </c>
      <c r="V96" s="6">
        <v>1</v>
      </c>
      <c r="W96" s="6"/>
      <c r="X96" s="6">
        <v>1</v>
      </c>
      <c r="Y96" s="6"/>
      <c r="Z96" s="6"/>
      <c r="AA96" s="45">
        <v>1</v>
      </c>
      <c r="AB96" s="6"/>
      <c r="AC96" s="6"/>
      <c r="AD96" s="6">
        <v>1</v>
      </c>
      <c r="AE96" s="7">
        <v>0.08</v>
      </c>
      <c r="AF96" s="180">
        <v>6.5000000000000002E-2</v>
      </c>
      <c r="AG96" s="16">
        <f t="shared" si="45"/>
        <v>4.0999999999999996</v>
      </c>
      <c r="AH96" s="17">
        <f t="shared" si="46"/>
        <v>10.1</v>
      </c>
      <c r="AI96" s="16">
        <f t="shared" si="47"/>
        <v>18</v>
      </c>
      <c r="AJ96" s="5" t="s">
        <v>135</v>
      </c>
      <c r="AK96" s="13"/>
      <c r="AL96" s="95"/>
      <c r="AM96" s="97"/>
      <c r="AN96" s="104"/>
      <c r="AO96" s="218"/>
      <c r="AP96" s="159">
        <v>10</v>
      </c>
      <c r="AQ96" s="145">
        <v>10</v>
      </c>
      <c r="AR96" s="219">
        <v>0</v>
      </c>
      <c r="AS96" s="97"/>
      <c r="AT96" s="165"/>
      <c r="AU96" s="220"/>
      <c r="AV96" s="222">
        <f t="shared" si="38"/>
        <v>0</v>
      </c>
    </row>
    <row r="97" spans="1:48" ht="18.75" customHeight="1" x14ac:dyDescent="0.3">
      <c r="A97" s="30" t="s">
        <v>22</v>
      </c>
      <c r="B97" s="26" t="s">
        <v>57</v>
      </c>
      <c r="C97" s="18" t="s">
        <v>61</v>
      </c>
      <c r="D97" s="19" t="s">
        <v>62</v>
      </c>
      <c r="E97" s="20" t="s">
        <v>130</v>
      </c>
      <c r="F97" s="6">
        <v>1</v>
      </c>
      <c r="G97" s="45">
        <v>1</v>
      </c>
      <c r="H97" s="6">
        <v>1</v>
      </c>
      <c r="I97" s="45">
        <v>1</v>
      </c>
      <c r="J97" s="6">
        <v>1</v>
      </c>
      <c r="K97" s="6"/>
      <c r="L97" s="45">
        <v>1</v>
      </c>
      <c r="M97" s="6">
        <v>1</v>
      </c>
      <c r="N97" s="6"/>
      <c r="O97" s="6">
        <v>1</v>
      </c>
      <c r="P97" s="45">
        <v>1</v>
      </c>
      <c r="Q97" s="6"/>
      <c r="R97" s="6"/>
      <c r="S97" s="6"/>
      <c r="T97" s="6">
        <v>1</v>
      </c>
      <c r="U97" s="6">
        <v>1</v>
      </c>
      <c r="V97" s="6"/>
      <c r="W97" s="6">
        <v>1</v>
      </c>
      <c r="X97" s="6">
        <v>1</v>
      </c>
      <c r="Y97" s="6">
        <v>1</v>
      </c>
      <c r="Z97" s="6"/>
      <c r="AA97" s="45">
        <v>1</v>
      </c>
      <c r="AB97" s="6">
        <v>1</v>
      </c>
      <c r="AC97" s="6"/>
      <c r="AD97" s="6">
        <v>1</v>
      </c>
      <c r="AE97" s="7">
        <v>0.08</v>
      </c>
      <c r="AF97" s="180">
        <v>0.65</v>
      </c>
      <c r="AG97" s="16">
        <f t="shared" si="42"/>
        <v>4.0999999999999996</v>
      </c>
      <c r="AH97" s="17">
        <f t="shared" si="43"/>
        <v>10.1</v>
      </c>
      <c r="AI97" s="16">
        <f t="shared" si="44"/>
        <v>18</v>
      </c>
      <c r="AJ97" s="5" t="s">
        <v>135</v>
      </c>
      <c r="AK97" s="13"/>
      <c r="AL97" s="95"/>
      <c r="AM97" s="131">
        <v>10</v>
      </c>
      <c r="AN97" s="104">
        <v>10</v>
      </c>
      <c r="AO97" s="218">
        <v>0</v>
      </c>
      <c r="AP97" s="159">
        <v>20</v>
      </c>
      <c r="AQ97" s="145">
        <v>20</v>
      </c>
      <c r="AR97" s="219">
        <v>0</v>
      </c>
      <c r="AS97" s="97"/>
      <c r="AT97" s="165"/>
      <c r="AU97" s="220"/>
      <c r="AV97" s="222">
        <f t="shared" si="38"/>
        <v>0</v>
      </c>
    </row>
    <row r="98" spans="1:48" ht="18.75" customHeight="1" x14ac:dyDescent="0.3">
      <c r="A98" s="29">
        <v>41</v>
      </c>
      <c r="B98" s="26" t="s">
        <v>633</v>
      </c>
      <c r="C98" s="18" t="s">
        <v>81</v>
      </c>
      <c r="D98" s="19" t="s">
        <v>82</v>
      </c>
      <c r="E98" s="20" t="s">
        <v>132</v>
      </c>
      <c r="F98" s="6">
        <v>2</v>
      </c>
      <c r="G98" s="45"/>
      <c r="H98" s="6"/>
      <c r="I98" s="45"/>
      <c r="J98" s="6"/>
      <c r="K98" s="6"/>
      <c r="L98" s="45"/>
      <c r="M98" s="6"/>
      <c r="N98" s="6"/>
      <c r="O98" s="6"/>
      <c r="P98" s="45"/>
      <c r="Q98" s="6"/>
      <c r="R98" s="6"/>
      <c r="S98" s="6"/>
      <c r="T98" s="6"/>
      <c r="U98" s="6"/>
      <c r="V98" s="6"/>
      <c r="W98" s="6"/>
      <c r="X98" s="6"/>
      <c r="Y98" s="6"/>
      <c r="Z98" s="6"/>
      <c r="AA98" s="45"/>
      <c r="AB98" s="6"/>
      <c r="AC98" s="6"/>
      <c r="AD98" s="6"/>
      <c r="AE98" s="7">
        <v>3.9</v>
      </c>
      <c r="AF98" s="7"/>
      <c r="AG98" s="16">
        <f t="shared" si="42"/>
        <v>11</v>
      </c>
      <c r="AH98" s="17">
        <f t="shared" si="43"/>
        <v>17</v>
      </c>
      <c r="AI98" s="16">
        <f t="shared" si="44"/>
        <v>30</v>
      </c>
      <c r="AJ98" s="5" t="s">
        <v>135</v>
      </c>
      <c r="AK98" s="13"/>
      <c r="AL98" s="95"/>
      <c r="AM98" s="131">
        <v>8</v>
      </c>
      <c r="AN98" s="104">
        <v>8</v>
      </c>
      <c r="AO98" s="218">
        <v>0</v>
      </c>
      <c r="AP98" s="144"/>
      <c r="AQ98" s="145"/>
      <c r="AR98" s="219"/>
      <c r="AS98" s="97"/>
      <c r="AT98" s="165"/>
      <c r="AU98" s="220"/>
      <c r="AV98" s="222">
        <f t="shared" si="38"/>
        <v>0</v>
      </c>
    </row>
    <row r="99" spans="1:48" ht="18.75" customHeight="1" x14ac:dyDescent="0.3">
      <c r="A99" s="29">
        <v>41</v>
      </c>
      <c r="B99" s="126" t="s">
        <v>730</v>
      </c>
      <c r="C99" s="18" t="s">
        <v>81</v>
      </c>
      <c r="D99" s="19" t="s">
        <v>82</v>
      </c>
      <c r="E99" s="20" t="s">
        <v>132</v>
      </c>
      <c r="F99" s="6"/>
      <c r="G99" s="45"/>
      <c r="H99" s="6">
        <v>2</v>
      </c>
      <c r="I99" s="45">
        <v>2</v>
      </c>
      <c r="J99" s="6"/>
      <c r="K99" s="6">
        <v>2</v>
      </c>
      <c r="L99" s="45">
        <v>2</v>
      </c>
      <c r="M99" s="6"/>
      <c r="N99" s="6">
        <v>2</v>
      </c>
      <c r="O99" s="6">
        <v>2</v>
      </c>
      <c r="P99" s="45">
        <v>2</v>
      </c>
      <c r="Q99" s="6"/>
      <c r="R99" s="6">
        <v>2</v>
      </c>
      <c r="S99" s="6">
        <v>2</v>
      </c>
      <c r="T99" s="6">
        <v>2</v>
      </c>
      <c r="U99" s="6">
        <v>2</v>
      </c>
      <c r="V99" s="6">
        <v>2</v>
      </c>
      <c r="W99" s="6"/>
      <c r="X99" s="6">
        <v>2</v>
      </c>
      <c r="Y99" s="6"/>
      <c r="Z99" s="6">
        <v>2</v>
      </c>
      <c r="AA99" s="45">
        <v>2</v>
      </c>
      <c r="AB99" s="6"/>
      <c r="AC99" s="6">
        <v>2</v>
      </c>
      <c r="AD99" s="6">
        <v>2</v>
      </c>
      <c r="AE99" s="7">
        <v>2.92</v>
      </c>
      <c r="AF99" s="180">
        <v>2.3400000000000003</v>
      </c>
      <c r="AG99" s="16">
        <f t="shared" ref="AG99" si="48">ROUND((AE99*1.2*1.5+4)*10,0)/10</f>
        <v>9.3000000000000007</v>
      </c>
      <c r="AH99" s="17">
        <f t="shared" ref="AH99" si="49">ROUND((AE99*1.2*1.5+10)*10,0)/10</f>
        <v>15.3</v>
      </c>
      <c r="AI99" s="16">
        <f t="shared" ref="AI99" si="50">ROUND(AH99/0.7*1.22,0)</f>
        <v>27</v>
      </c>
      <c r="AJ99" s="5" t="s">
        <v>135</v>
      </c>
      <c r="AK99" s="13"/>
      <c r="AL99" s="95"/>
      <c r="AM99" s="97"/>
      <c r="AN99" s="104"/>
      <c r="AO99" s="218"/>
      <c r="AP99" s="159">
        <v>20</v>
      </c>
      <c r="AQ99" s="145">
        <v>20</v>
      </c>
      <c r="AR99" s="219">
        <v>0</v>
      </c>
      <c r="AS99" s="131">
        <v>15</v>
      </c>
      <c r="AT99" s="165">
        <v>15</v>
      </c>
      <c r="AU99" s="220">
        <v>0</v>
      </c>
      <c r="AV99" s="222">
        <f t="shared" si="38"/>
        <v>0</v>
      </c>
    </row>
    <row r="100" spans="1:48" ht="18.75" customHeight="1" x14ac:dyDescent="0.3">
      <c r="A100" s="29">
        <v>42</v>
      </c>
      <c r="B100" s="26" t="s">
        <v>635</v>
      </c>
      <c r="C100" s="18" t="s">
        <v>81</v>
      </c>
      <c r="D100" s="19" t="s">
        <v>82</v>
      </c>
      <c r="E100" s="20" t="s">
        <v>133</v>
      </c>
      <c r="F100" s="6">
        <v>1</v>
      </c>
      <c r="G100" s="45"/>
      <c r="H100" s="6"/>
      <c r="I100" s="45"/>
      <c r="J100" s="6"/>
      <c r="K100" s="6"/>
      <c r="L100" s="45"/>
      <c r="M100" s="6"/>
      <c r="N100" s="6"/>
      <c r="O100" s="6"/>
      <c r="P100" s="4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45"/>
      <c r="AB100" s="6"/>
      <c r="AC100" s="6"/>
      <c r="AD100" s="6"/>
      <c r="AE100" s="7">
        <v>4.91</v>
      </c>
      <c r="AF100" s="7"/>
      <c r="AG100" s="16">
        <f t="shared" si="42"/>
        <v>12.8</v>
      </c>
      <c r="AH100" s="17">
        <f t="shared" si="43"/>
        <v>18.8</v>
      </c>
      <c r="AI100" s="16">
        <f t="shared" si="44"/>
        <v>33</v>
      </c>
      <c r="AJ100" s="5" t="s">
        <v>135</v>
      </c>
      <c r="AK100" s="13"/>
      <c r="AL100" s="95"/>
      <c r="AM100" s="131">
        <v>4</v>
      </c>
      <c r="AN100" s="104">
        <v>4</v>
      </c>
      <c r="AO100" s="218">
        <v>0</v>
      </c>
      <c r="AP100" s="144"/>
      <c r="AQ100" s="145"/>
      <c r="AR100" s="219"/>
      <c r="AS100" s="97"/>
      <c r="AT100" s="165"/>
      <c r="AU100" s="220"/>
      <c r="AV100" s="222">
        <f t="shared" si="38"/>
        <v>0</v>
      </c>
    </row>
    <row r="101" spans="1:48" ht="18.75" customHeight="1" x14ac:dyDescent="0.3">
      <c r="A101" s="29">
        <v>42</v>
      </c>
      <c r="B101" s="126" t="s">
        <v>731</v>
      </c>
      <c r="C101" s="18" t="s">
        <v>81</v>
      </c>
      <c r="D101" s="19" t="s">
        <v>82</v>
      </c>
      <c r="E101" s="20" t="s">
        <v>133</v>
      </c>
      <c r="F101" s="6"/>
      <c r="G101" s="45"/>
      <c r="H101" s="6">
        <v>1</v>
      </c>
      <c r="I101" s="45">
        <v>1</v>
      </c>
      <c r="J101" s="6"/>
      <c r="K101" s="6">
        <v>1</v>
      </c>
      <c r="L101" s="45">
        <v>1</v>
      </c>
      <c r="M101" s="6"/>
      <c r="N101" s="6">
        <v>1</v>
      </c>
      <c r="O101" s="6">
        <v>1</v>
      </c>
      <c r="P101" s="45">
        <v>1</v>
      </c>
      <c r="Q101" s="6"/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/>
      <c r="X101" s="6">
        <v>1</v>
      </c>
      <c r="Y101" s="6"/>
      <c r="Z101" s="6">
        <v>1</v>
      </c>
      <c r="AA101" s="45">
        <v>1</v>
      </c>
      <c r="AB101" s="6"/>
      <c r="AC101" s="6">
        <v>1</v>
      </c>
      <c r="AD101" s="6">
        <v>1</v>
      </c>
      <c r="AE101" s="7">
        <v>2.94</v>
      </c>
      <c r="AF101" s="180">
        <v>7.8E-2</v>
      </c>
      <c r="AG101" s="16">
        <f t="shared" si="42"/>
        <v>9.3000000000000007</v>
      </c>
      <c r="AH101" s="17">
        <f t="shared" si="43"/>
        <v>15.3</v>
      </c>
      <c r="AI101" s="16">
        <f t="shared" si="44"/>
        <v>27</v>
      </c>
      <c r="AJ101" s="5" t="s">
        <v>135</v>
      </c>
      <c r="AK101" s="13"/>
      <c r="AL101" s="95"/>
      <c r="AM101" s="97"/>
      <c r="AN101" s="104"/>
      <c r="AO101" s="218"/>
      <c r="AP101" s="159">
        <v>10</v>
      </c>
      <c r="AQ101" s="145">
        <v>10</v>
      </c>
      <c r="AR101" s="219">
        <v>0</v>
      </c>
      <c r="AS101" s="131">
        <v>8</v>
      </c>
      <c r="AT101" s="165">
        <v>8</v>
      </c>
      <c r="AU101" s="220">
        <v>0</v>
      </c>
      <c r="AV101" s="222">
        <f t="shared" si="38"/>
        <v>0</v>
      </c>
    </row>
    <row r="102" spans="1:48" ht="18.75" customHeight="1" x14ac:dyDescent="0.3">
      <c r="A102" s="29" t="s">
        <v>271</v>
      </c>
      <c r="B102" s="126" t="s">
        <v>795</v>
      </c>
      <c r="C102" s="18" t="s">
        <v>79</v>
      </c>
      <c r="D102" s="19" t="s">
        <v>80</v>
      </c>
      <c r="E102" s="20" t="s">
        <v>111</v>
      </c>
      <c r="F102" s="6"/>
      <c r="G102" s="45"/>
      <c r="H102" s="6"/>
      <c r="I102" s="45"/>
      <c r="J102" s="6"/>
      <c r="K102" s="6"/>
      <c r="L102" s="45"/>
      <c r="M102" s="6"/>
      <c r="N102" s="6"/>
      <c r="O102" s="6"/>
      <c r="P102" s="45">
        <v>1</v>
      </c>
      <c r="Q102" s="6"/>
      <c r="R102" s="6"/>
      <c r="S102" s="6"/>
      <c r="T102" s="6"/>
      <c r="U102" s="6"/>
      <c r="V102" s="6">
        <v>1</v>
      </c>
      <c r="W102" s="6"/>
      <c r="X102" s="6"/>
      <c r="Y102" s="6"/>
      <c r="Z102" s="6"/>
      <c r="AA102" s="45"/>
      <c r="AB102" s="6"/>
      <c r="AC102" s="6"/>
      <c r="AD102" s="6"/>
      <c r="AE102" s="7">
        <v>0.46</v>
      </c>
      <c r="AF102" s="7"/>
      <c r="AG102" s="16">
        <f t="shared" ref="AG102:AG106" si="51">ROUND((AE102*1.2*1.5+4)*10,0)/10</f>
        <v>4.8</v>
      </c>
      <c r="AH102" s="17">
        <f t="shared" ref="AH102:AH106" si="52">ROUND((AE102*1.2*1.5+10)*10,0)/10</f>
        <v>10.8</v>
      </c>
      <c r="AI102" s="16">
        <f t="shared" ref="AI102:AI106" si="53">ROUND(AH102/0.7*1.22,0)</f>
        <v>19</v>
      </c>
      <c r="AJ102" s="5" t="s">
        <v>135</v>
      </c>
      <c r="AK102" s="13"/>
      <c r="AL102" s="95"/>
      <c r="AM102" s="97"/>
      <c r="AN102" s="104"/>
      <c r="AO102" s="218"/>
      <c r="AP102" s="159">
        <v>2</v>
      </c>
      <c r="AQ102" s="145">
        <v>2</v>
      </c>
      <c r="AR102" s="219">
        <v>0</v>
      </c>
      <c r="AS102" s="97"/>
      <c r="AT102" s="165"/>
      <c r="AU102" s="220"/>
      <c r="AV102" s="222">
        <f t="shared" si="38"/>
        <v>0</v>
      </c>
    </row>
    <row r="103" spans="1:48" ht="18.75" customHeight="1" x14ac:dyDescent="0.3">
      <c r="A103" s="29" t="s">
        <v>318</v>
      </c>
      <c r="B103" s="126" t="s">
        <v>796</v>
      </c>
      <c r="C103" s="18" t="s">
        <v>79</v>
      </c>
      <c r="D103" s="19" t="s">
        <v>80</v>
      </c>
      <c r="E103" s="20" t="s">
        <v>124</v>
      </c>
      <c r="F103" s="6"/>
      <c r="G103" s="45"/>
      <c r="H103" s="6"/>
      <c r="I103" s="45"/>
      <c r="J103" s="6"/>
      <c r="K103" s="6"/>
      <c r="L103" s="45"/>
      <c r="M103" s="6"/>
      <c r="N103" s="6"/>
      <c r="O103" s="6"/>
      <c r="P103" s="45">
        <v>1</v>
      </c>
      <c r="Q103" s="6"/>
      <c r="R103" s="6"/>
      <c r="S103" s="6"/>
      <c r="T103" s="6"/>
      <c r="U103" s="6"/>
      <c r="V103" s="6">
        <v>1</v>
      </c>
      <c r="W103" s="6"/>
      <c r="X103" s="6"/>
      <c r="Y103" s="6"/>
      <c r="Z103" s="6"/>
      <c r="AA103" s="45"/>
      <c r="AB103" s="6"/>
      <c r="AC103" s="6"/>
      <c r="AD103" s="6"/>
      <c r="AE103" s="7">
        <v>0.41</v>
      </c>
      <c r="AF103" s="7"/>
      <c r="AG103" s="16">
        <f t="shared" si="51"/>
        <v>4.7</v>
      </c>
      <c r="AH103" s="17">
        <f t="shared" si="52"/>
        <v>10.7</v>
      </c>
      <c r="AI103" s="16">
        <f t="shared" si="53"/>
        <v>19</v>
      </c>
      <c r="AJ103" s="5" t="s">
        <v>135</v>
      </c>
      <c r="AK103" s="13"/>
      <c r="AL103" s="95"/>
      <c r="AM103" s="97"/>
      <c r="AN103" s="104"/>
      <c r="AO103" s="218"/>
      <c r="AP103" s="159">
        <v>2</v>
      </c>
      <c r="AQ103" s="145">
        <v>2</v>
      </c>
      <c r="AR103" s="219">
        <v>0</v>
      </c>
      <c r="AS103" s="97"/>
      <c r="AT103" s="165"/>
      <c r="AU103" s="220"/>
      <c r="AV103" s="222">
        <f t="shared" si="38"/>
        <v>0</v>
      </c>
    </row>
    <row r="104" spans="1:48" ht="18.75" customHeight="1" x14ac:dyDescent="0.3">
      <c r="A104" s="29" t="s">
        <v>312</v>
      </c>
      <c r="B104" s="126" t="s">
        <v>797</v>
      </c>
      <c r="C104" s="18" t="s">
        <v>79</v>
      </c>
      <c r="D104" s="19" t="s">
        <v>80</v>
      </c>
      <c r="E104" s="20" t="s">
        <v>753</v>
      </c>
      <c r="F104" s="6"/>
      <c r="G104" s="45"/>
      <c r="H104" s="6"/>
      <c r="I104" s="45"/>
      <c r="J104" s="6"/>
      <c r="K104" s="6"/>
      <c r="L104" s="45"/>
      <c r="M104" s="6"/>
      <c r="N104" s="6"/>
      <c r="O104" s="6"/>
      <c r="P104" s="45">
        <v>1</v>
      </c>
      <c r="Q104" s="6"/>
      <c r="R104" s="6"/>
      <c r="S104" s="6"/>
      <c r="T104" s="6"/>
      <c r="U104" s="6"/>
      <c r="V104" s="6">
        <v>1</v>
      </c>
      <c r="W104" s="6"/>
      <c r="X104" s="6"/>
      <c r="Y104" s="6"/>
      <c r="Z104" s="6"/>
      <c r="AA104" s="45"/>
      <c r="AB104" s="6"/>
      <c r="AC104" s="6"/>
      <c r="AD104" s="6"/>
      <c r="AE104" s="7">
        <v>0.38</v>
      </c>
      <c r="AF104" s="7"/>
      <c r="AG104" s="16">
        <f t="shared" si="51"/>
        <v>4.7</v>
      </c>
      <c r="AH104" s="17">
        <f t="shared" si="52"/>
        <v>10.7</v>
      </c>
      <c r="AI104" s="16">
        <f t="shared" si="53"/>
        <v>19</v>
      </c>
      <c r="AJ104" s="5" t="s">
        <v>135</v>
      </c>
      <c r="AK104" s="13"/>
      <c r="AL104" s="95"/>
      <c r="AM104" s="97"/>
      <c r="AN104" s="104"/>
      <c r="AO104" s="218"/>
      <c r="AP104" s="159">
        <v>2</v>
      </c>
      <c r="AQ104" s="145">
        <v>2</v>
      </c>
      <c r="AR104" s="219">
        <v>0</v>
      </c>
      <c r="AS104" s="97"/>
      <c r="AT104" s="165"/>
      <c r="AU104" s="220"/>
      <c r="AV104" s="222">
        <f t="shared" si="38"/>
        <v>0</v>
      </c>
    </row>
    <row r="105" spans="1:48" ht="18.75" customHeight="1" x14ac:dyDescent="0.3">
      <c r="A105" s="29" t="s">
        <v>800</v>
      </c>
      <c r="B105" s="126" t="s">
        <v>798</v>
      </c>
      <c r="C105" s="18" t="s">
        <v>79</v>
      </c>
      <c r="D105" s="19" t="s">
        <v>80</v>
      </c>
      <c r="E105" s="20" t="s">
        <v>123</v>
      </c>
      <c r="F105" s="6"/>
      <c r="G105" s="45"/>
      <c r="H105" s="6"/>
      <c r="I105" s="45"/>
      <c r="J105" s="6"/>
      <c r="K105" s="6"/>
      <c r="L105" s="45"/>
      <c r="M105" s="6"/>
      <c r="N105" s="6"/>
      <c r="O105" s="6"/>
      <c r="P105" s="45">
        <v>1</v>
      </c>
      <c r="Q105" s="6"/>
      <c r="R105" s="6"/>
      <c r="S105" s="6"/>
      <c r="T105" s="6"/>
      <c r="U105" s="6"/>
      <c r="V105" s="6">
        <v>1</v>
      </c>
      <c r="W105" s="6"/>
      <c r="X105" s="6"/>
      <c r="Y105" s="6"/>
      <c r="Z105" s="6"/>
      <c r="AA105" s="45"/>
      <c r="AB105" s="6"/>
      <c r="AC105" s="6"/>
      <c r="AD105" s="6"/>
      <c r="AE105" s="7">
        <v>0.41</v>
      </c>
      <c r="AF105" s="7"/>
      <c r="AG105" s="16">
        <f t="shared" si="51"/>
        <v>4.7</v>
      </c>
      <c r="AH105" s="17">
        <f t="shared" si="52"/>
        <v>10.7</v>
      </c>
      <c r="AI105" s="16">
        <f t="shared" si="53"/>
        <v>19</v>
      </c>
      <c r="AJ105" s="5" t="s">
        <v>135</v>
      </c>
      <c r="AK105" s="13"/>
      <c r="AL105" s="95"/>
      <c r="AM105" s="97"/>
      <c r="AN105" s="104"/>
      <c r="AO105" s="218"/>
      <c r="AP105" s="159">
        <v>2</v>
      </c>
      <c r="AQ105" s="145">
        <v>2</v>
      </c>
      <c r="AR105" s="219">
        <v>0</v>
      </c>
      <c r="AS105" s="97"/>
      <c r="AT105" s="165"/>
      <c r="AU105" s="220"/>
      <c r="AV105" s="222">
        <f t="shared" si="38"/>
        <v>0</v>
      </c>
    </row>
    <row r="106" spans="1:48" ht="18.75" customHeight="1" x14ac:dyDescent="0.3">
      <c r="A106" s="29" t="s">
        <v>801</v>
      </c>
      <c r="B106" s="126" t="s">
        <v>799</v>
      </c>
      <c r="C106" s="18" t="s">
        <v>79</v>
      </c>
      <c r="D106" s="19" t="s">
        <v>80</v>
      </c>
      <c r="E106" s="20" t="s">
        <v>122</v>
      </c>
      <c r="F106" s="6"/>
      <c r="G106" s="45"/>
      <c r="H106" s="6"/>
      <c r="I106" s="45"/>
      <c r="J106" s="6"/>
      <c r="K106" s="6"/>
      <c r="L106" s="45"/>
      <c r="M106" s="6"/>
      <c r="N106" s="6"/>
      <c r="O106" s="6"/>
      <c r="P106" s="45">
        <v>1</v>
      </c>
      <c r="Q106" s="6"/>
      <c r="R106" s="6"/>
      <c r="S106" s="6"/>
      <c r="T106" s="6"/>
      <c r="U106" s="6"/>
      <c r="V106" s="6">
        <v>1</v>
      </c>
      <c r="W106" s="6"/>
      <c r="X106" s="6"/>
      <c r="Y106" s="6"/>
      <c r="Z106" s="6"/>
      <c r="AA106" s="45"/>
      <c r="AB106" s="6"/>
      <c r="AC106" s="6"/>
      <c r="AD106" s="6"/>
      <c r="AE106" s="7">
        <v>0.33</v>
      </c>
      <c r="AF106" s="7"/>
      <c r="AG106" s="16">
        <f t="shared" si="51"/>
        <v>4.5999999999999996</v>
      </c>
      <c r="AH106" s="17">
        <f t="shared" si="52"/>
        <v>10.6</v>
      </c>
      <c r="AI106" s="16">
        <f t="shared" si="53"/>
        <v>18</v>
      </c>
      <c r="AJ106" s="5" t="s">
        <v>135</v>
      </c>
      <c r="AK106" s="13"/>
      <c r="AL106" s="95"/>
      <c r="AM106" s="97"/>
      <c r="AN106" s="104"/>
      <c r="AO106" s="218"/>
      <c r="AP106" s="159">
        <v>2</v>
      </c>
      <c r="AQ106" s="145">
        <v>2</v>
      </c>
      <c r="AR106" s="219">
        <v>0</v>
      </c>
      <c r="AS106" s="97"/>
      <c r="AT106" s="165"/>
      <c r="AU106" s="220"/>
      <c r="AV106" s="222">
        <f t="shared" si="38"/>
        <v>0</v>
      </c>
    </row>
    <row r="107" spans="1:48" ht="18.75" customHeight="1" x14ac:dyDescent="0.3">
      <c r="A107" s="147" t="s">
        <v>896</v>
      </c>
      <c r="B107" s="148" t="s">
        <v>893</v>
      </c>
      <c r="C107" s="18" t="s">
        <v>79</v>
      </c>
      <c r="D107" s="19" t="s">
        <v>80</v>
      </c>
      <c r="E107" s="20" t="s">
        <v>900</v>
      </c>
      <c r="F107" s="6"/>
      <c r="G107" s="45"/>
      <c r="H107" s="6"/>
      <c r="I107" s="45"/>
      <c r="J107" s="6"/>
      <c r="K107" s="6"/>
      <c r="L107" s="45"/>
      <c r="M107" s="6"/>
      <c r="N107" s="6">
        <v>1</v>
      </c>
      <c r="O107" s="6"/>
      <c r="P107" s="45"/>
      <c r="Q107" s="6"/>
      <c r="R107" s="6"/>
      <c r="S107" s="6"/>
      <c r="T107" s="6"/>
      <c r="U107" s="6"/>
      <c r="V107" s="6"/>
      <c r="W107" s="6"/>
      <c r="X107" s="6">
        <v>1</v>
      </c>
      <c r="Y107" s="6"/>
      <c r="Z107" s="6"/>
      <c r="AA107" s="45"/>
      <c r="AB107" s="6"/>
      <c r="AC107" s="6"/>
      <c r="AD107" s="6"/>
      <c r="AE107" s="7">
        <v>0.82</v>
      </c>
      <c r="AF107" s="180">
        <v>6.5000000000000002E-2</v>
      </c>
      <c r="AG107" s="16">
        <f t="shared" ref="AG107:AG109" si="54">ROUND((AE107*1.2*1.5+4)*10,0)/10</f>
        <v>5.5</v>
      </c>
      <c r="AH107" s="17">
        <f t="shared" ref="AH107:AH109" si="55">ROUND((AE107*1.2*1.5+10)*10,0)/10</f>
        <v>11.5</v>
      </c>
      <c r="AI107" s="16">
        <f t="shared" ref="AI107:AI109" si="56">ROUND(AH107/0.7*1.22,0)</f>
        <v>20</v>
      </c>
      <c r="AJ107" s="5" t="s">
        <v>135</v>
      </c>
      <c r="AK107" s="13"/>
      <c r="AL107" s="95"/>
      <c r="AM107" s="97"/>
      <c r="AN107" s="104"/>
      <c r="AO107" s="218"/>
      <c r="AP107" s="144"/>
      <c r="AQ107" s="145"/>
      <c r="AR107" s="219"/>
      <c r="AS107" s="131">
        <v>5</v>
      </c>
      <c r="AT107" s="165">
        <v>5</v>
      </c>
      <c r="AU107" s="220">
        <v>0</v>
      </c>
      <c r="AV107" s="222">
        <f t="shared" si="38"/>
        <v>0</v>
      </c>
    </row>
    <row r="108" spans="1:48" ht="18.75" customHeight="1" x14ac:dyDescent="0.3">
      <c r="A108" s="147" t="s">
        <v>897</v>
      </c>
      <c r="B108" s="148" t="s">
        <v>894</v>
      </c>
      <c r="C108" s="18" t="s">
        <v>79</v>
      </c>
      <c r="D108" s="19" t="s">
        <v>80</v>
      </c>
      <c r="E108" s="20" t="s">
        <v>899</v>
      </c>
      <c r="F108" s="6"/>
      <c r="G108" s="45"/>
      <c r="H108" s="6"/>
      <c r="I108" s="45"/>
      <c r="J108" s="6"/>
      <c r="K108" s="6"/>
      <c r="L108" s="45"/>
      <c r="M108" s="6"/>
      <c r="N108" s="6">
        <v>1</v>
      </c>
      <c r="O108" s="6"/>
      <c r="P108" s="45"/>
      <c r="Q108" s="6"/>
      <c r="R108" s="6"/>
      <c r="S108" s="6"/>
      <c r="T108" s="6"/>
      <c r="U108" s="6"/>
      <c r="V108" s="6"/>
      <c r="W108" s="6"/>
      <c r="X108" s="6">
        <v>1</v>
      </c>
      <c r="Y108" s="6"/>
      <c r="Z108" s="6"/>
      <c r="AA108" s="45"/>
      <c r="AB108" s="6"/>
      <c r="AC108" s="6"/>
      <c r="AD108" s="6"/>
      <c r="AE108" s="7">
        <v>0.37</v>
      </c>
      <c r="AF108" s="180">
        <v>6.5000000000000002E-2</v>
      </c>
      <c r="AG108" s="16">
        <f t="shared" si="54"/>
        <v>4.7</v>
      </c>
      <c r="AH108" s="17">
        <f t="shared" si="55"/>
        <v>10.7</v>
      </c>
      <c r="AI108" s="16">
        <f t="shared" si="56"/>
        <v>19</v>
      </c>
      <c r="AJ108" s="5" t="s">
        <v>135</v>
      </c>
      <c r="AK108" s="13"/>
      <c r="AL108" s="95"/>
      <c r="AM108" s="97"/>
      <c r="AN108" s="104"/>
      <c r="AO108" s="218"/>
      <c r="AP108" s="144"/>
      <c r="AQ108" s="145"/>
      <c r="AR108" s="219"/>
      <c r="AS108" s="131">
        <v>5</v>
      </c>
      <c r="AT108" s="165">
        <v>5</v>
      </c>
      <c r="AU108" s="220">
        <v>0</v>
      </c>
      <c r="AV108" s="222">
        <f t="shared" si="38"/>
        <v>0</v>
      </c>
    </row>
    <row r="109" spans="1:48" ht="18.75" customHeight="1" x14ac:dyDescent="0.3">
      <c r="A109" s="147" t="s">
        <v>898</v>
      </c>
      <c r="B109" s="148" t="s">
        <v>895</v>
      </c>
      <c r="C109" s="18" t="s">
        <v>79</v>
      </c>
      <c r="D109" s="19" t="s">
        <v>80</v>
      </c>
      <c r="E109" s="20" t="s">
        <v>901</v>
      </c>
      <c r="F109" s="6"/>
      <c r="G109" s="45"/>
      <c r="H109" s="6"/>
      <c r="I109" s="45"/>
      <c r="J109" s="6"/>
      <c r="K109" s="6"/>
      <c r="L109" s="45"/>
      <c r="M109" s="6"/>
      <c r="N109" s="6">
        <v>1</v>
      </c>
      <c r="O109" s="6"/>
      <c r="P109" s="45"/>
      <c r="Q109" s="6"/>
      <c r="R109" s="6"/>
      <c r="S109" s="6"/>
      <c r="T109" s="6"/>
      <c r="U109" s="6"/>
      <c r="V109" s="6"/>
      <c r="W109" s="6"/>
      <c r="X109" s="6">
        <v>1</v>
      </c>
      <c r="Y109" s="6"/>
      <c r="Z109" s="6"/>
      <c r="AA109" s="45"/>
      <c r="AB109" s="6"/>
      <c r="AC109" s="6"/>
      <c r="AD109" s="6"/>
      <c r="AE109" s="7">
        <v>0.86</v>
      </c>
      <c r="AF109" s="180">
        <v>7.8E-2</v>
      </c>
      <c r="AG109" s="16">
        <f t="shared" si="54"/>
        <v>5.5</v>
      </c>
      <c r="AH109" s="17">
        <f t="shared" si="55"/>
        <v>11.5</v>
      </c>
      <c r="AI109" s="16">
        <f t="shared" si="56"/>
        <v>20</v>
      </c>
      <c r="AJ109" s="5" t="s">
        <v>135</v>
      </c>
      <c r="AK109" s="13"/>
      <c r="AL109" s="95"/>
      <c r="AM109" s="97"/>
      <c r="AN109" s="104"/>
      <c r="AO109" s="218"/>
      <c r="AP109" s="144"/>
      <c r="AQ109" s="145"/>
      <c r="AR109" s="219"/>
      <c r="AS109" s="131">
        <v>5</v>
      </c>
      <c r="AT109" s="165">
        <v>5</v>
      </c>
      <c r="AU109" s="220">
        <v>0</v>
      </c>
      <c r="AV109" s="222">
        <f t="shared" si="38"/>
        <v>0</v>
      </c>
    </row>
    <row r="110" spans="1:48" ht="18.75" customHeight="1" x14ac:dyDescent="0.3">
      <c r="A110" s="29">
        <v>22</v>
      </c>
      <c r="B110" s="26" t="s">
        <v>149</v>
      </c>
      <c r="C110" s="18" t="s">
        <v>79</v>
      </c>
      <c r="D110" s="19" t="s">
        <v>80</v>
      </c>
      <c r="E110" s="20" t="s">
        <v>122</v>
      </c>
      <c r="F110" s="6"/>
      <c r="G110" s="45">
        <v>1</v>
      </c>
      <c r="H110" s="6"/>
      <c r="I110" s="45"/>
      <c r="J110" s="6">
        <v>1</v>
      </c>
      <c r="K110" s="6"/>
      <c r="L110" s="45"/>
      <c r="M110" s="6">
        <v>1</v>
      </c>
      <c r="N110" s="6"/>
      <c r="O110" s="6"/>
      <c r="P110" s="45"/>
      <c r="Q110" s="6">
        <v>1</v>
      </c>
      <c r="R110" s="6"/>
      <c r="S110" s="6"/>
      <c r="T110" s="6"/>
      <c r="U110" s="6"/>
      <c r="V110" s="6"/>
      <c r="W110" s="6"/>
      <c r="X110" s="6"/>
      <c r="Y110" s="6">
        <v>1</v>
      </c>
      <c r="Z110" s="6"/>
      <c r="AA110" s="45"/>
      <c r="AB110" s="6">
        <v>1</v>
      </c>
      <c r="AC110" s="6"/>
      <c r="AD110" s="6"/>
      <c r="AE110" s="7">
        <v>0.38</v>
      </c>
      <c r="AF110" s="7"/>
      <c r="AG110" s="16">
        <f t="shared" si="42"/>
        <v>4.7</v>
      </c>
      <c r="AH110" s="17">
        <f t="shared" si="43"/>
        <v>10.7</v>
      </c>
      <c r="AI110" s="16">
        <f t="shared" si="44"/>
        <v>19</v>
      </c>
      <c r="AJ110" s="5" t="s">
        <v>135</v>
      </c>
      <c r="AK110" s="13"/>
      <c r="AL110" s="95"/>
      <c r="AM110" s="131">
        <v>3</v>
      </c>
      <c r="AN110" s="104">
        <v>3</v>
      </c>
      <c r="AO110" s="218">
        <v>0</v>
      </c>
      <c r="AP110" s="159">
        <v>2</v>
      </c>
      <c r="AQ110" s="145">
        <v>2</v>
      </c>
      <c r="AR110" s="219">
        <v>0</v>
      </c>
      <c r="AS110" s="97"/>
      <c r="AT110" s="165"/>
      <c r="AU110" s="220"/>
      <c r="AV110" s="222">
        <f t="shared" si="38"/>
        <v>0</v>
      </c>
    </row>
    <row r="111" spans="1:48" ht="18.75" customHeight="1" x14ac:dyDescent="0.3">
      <c r="A111" s="29">
        <v>32</v>
      </c>
      <c r="B111" s="126" t="s">
        <v>734</v>
      </c>
      <c r="C111" s="18" t="s">
        <v>732</v>
      </c>
      <c r="D111" s="19" t="s">
        <v>733</v>
      </c>
      <c r="E111" s="20" t="s">
        <v>121</v>
      </c>
      <c r="F111" s="6"/>
      <c r="G111" s="45"/>
      <c r="H111" s="6">
        <v>1</v>
      </c>
      <c r="I111" s="45">
        <v>1</v>
      </c>
      <c r="J111" s="6"/>
      <c r="K111" s="6">
        <v>1</v>
      </c>
      <c r="L111" s="45">
        <v>1</v>
      </c>
      <c r="M111" s="6">
        <v>1</v>
      </c>
      <c r="N111" s="6">
        <v>1</v>
      </c>
      <c r="O111" s="6"/>
      <c r="P111" s="45">
        <v>1</v>
      </c>
      <c r="Q111" s="6"/>
      <c r="R111" s="6">
        <v>1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/>
      <c r="Z111" s="6">
        <v>1</v>
      </c>
      <c r="AA111" s="45">
        <v>1</v>
      </c>
      <c r="AB111" s="6"/>
      <c r="AC111" s="6">
        <v>1</v>
      </c>
      <c r="AD111" s="6">
        <v>1</v>
      </c>
      <c r="AE111" s="7">
        <v>1.76</v>
      </c>
      <c r="AF111" s="180">
        <v>0.32500000000000001</v>
      </c>
      <c r="AG111" s="16">
        <f t="shared" si="42"/>
        <v>7.2</v>
      </c>
      <c r="AH111" s="17">
        <f t="shared" si="43"/>
        <v>13.2</v>
      </c>
      <c r="AI111" s="16">
        <f t="shared" si="44"/>
        <v>23</v>
      </c>
      <c r="AJ111" s="5" t="s">
        <v>135</v>
      </c>
      <c r="AK111" s="13"/>
      <c r="AL111" s="95"/>
      <c r="AM111" s="97"/>
      <c r="AN111" s="104"/>
      <c r="AO111" s="218"/>
      <c r="AP111" s="159">
        <v>10</v>
      </c>
      <c r="AQ111" s="145">
        <v>10</v>
      </c>
      <c r="AR111" s="219">
        <v>0</v>
      </c>
      <c r="AS111" s="131">
        <v>5</v>
      </c>
      <c r="AT111" s="165">
        <v>5</v>
      </c>
      <c r="AU111" s="220">
        <v>0</v>
      </c>
      <c r="AV111" s="222">
        <f t="shared" si="38"/>
        <v>0</v>
      </c>
    </row>
    <row r="112" spans="1:48" ht="18.75" customHeight="1" x14ac:dyDescent="0.3">
      <c r="A112" s="29" t="s">
        <v>140</v>
      </c>
      <c r="B112" s="26" t="s">
        <v>150</v>
      </c>
      <c r="C112" s="18" t="s">
        <v>81</v>
      </c>
      <c r="D112" s="19" t="s">
        <v>82</v>
      </c>
      <c r="E112" s="20" t="s">
        <v>133</v>
      </c>
      <c r="F112" s="6"/>
      <c r="G112" s="45">
        <v>1</v>
      </c>
      <c r="H112" s="6"/>
      <c r="I112" s="45"/>
      <c r="J112" s="6"/>
      <c r="K112" s="6"/>
      <c r="L112" s="45"/>
      <c r="M112" s="6"/>
      <c r="N112" s="6"/>
      <c r="O112" s="6"/>
      <c r="P112" s="45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45"/>
      <c r="AB112" s="6"/>
      <c r="AC112" s="6"/>
      <c r="AD112" s="6"/>
      <c r="AE112" s="7">
        <v>4.9139999999999997</v>
      </c>
      <c r="AF112" s="7"/>
      <c r="AG112" s="16">
        <f t="shared" si="42"/>
        <v>12.8</v>
      </c>
      <c r="AH112" s="17">
        <f t="shared" si="43"/>
        <v>18.8</v>
      </c>
      <c r="AI112" s="16">
        <f t="shared" si="44"/>
        <v>33</v>
      </c>
      <c r="AJ112" s="5" t="s">
        <v>135</v>
      </c>
      <c r="AK112" s="13"/>
      <c r="AL112" s="95"/>
      <c r="AM112" s="131">
        <v>4</v>
      </c>
      <c r="AN112" s="104">
        <v>4</v>
      </c>
      <c r="AO112" s="218">
        <v>0</v>
      </c>
      <c r="AP112" s="144"/>
      <c r="AQ112" s="145"/>
      <c r="AR112" s="219"/>
      <c r="AS112" s="97"/>
      <c r="AT112" s="165"/>
      <c r="AU112" s="220"/>
      <c r="AV112" s="222">
        <f t="shared" si="38"/>
        <v>0</v>
      </c>
    </row>
    <row r="113" spans="1:48" ht="18.75" customHeight="1" x14ac:dyDescent="0.3">
      <c r="A113" s="29" t="s">
        <v>140</v>
      </c>
      <c r="B113" s="126" t="s">
        <v>724</v>
      </c>
      <c r="C113" s="18" t="s">
        <v>81</v>
      </c>
      <c r="D113" s="19" t="s">
        <v>82</v>
      </c>
      <c r="E113" s="20" t="s">
        <v>133</v>
      </c>
      <c r="F113" s="6"/>
      <c r="G113" s="45"/>
      <c r="H113" s="6"/>
      <c r="I113" s="45"/>
      <c r="J113" s="6">
        <v>1</v>
      </c>
      <c r="K113" s="6"/>
      <c r="L113" s="45"/>
      <c r="M113" s="6">
        <v>1</v>
      </c>
      <c r="N113" s="6"/>
      <c r="O113" s="6"/>
      <c r="P113" s="45"/>
      <c r="Q113" s="6">
        <v>1</v>
      </c>
      <c r="R113" s="6"/>
      <c r="S113" s="6"/>
      <c r="T113" s="6"/>
      <c r="U113" s="6"/>
      <c r="V113" s="6"/>
      <c r="W113" s="6"/>
      <c r="X113" s="6"/>
      <c r="Y113" s="6">
        <v>1</v>
      </c>
      <c r="Z113" s="6"/>
      <c r="AA113" s="45"/>
      <c r="AB113" s="6">
        <v>1</v>
      </c>
      <c r="AC113" s="6"/>
      <c r="AD113" s="6"/>
      <c r="AE113" s="7">
        <v>2.94</v>
      </c>
      <c r="AF113" s="7"/>
      <c r="AG113" s="16">
        <f t="shared" ref="AG113" si="57">ROUND((AE113*1.2*1.5+4)*10,0)/10</f>
        <v>9.3000000000000007</v>
      </c>
      <c r="AH113" s="17">
        <f t="shared" ref="AH113" si="58">ROUND((AE113*1.2*1.5+10)*10,0)/10</f>
        <v>15.3</v>
      </c>
      <c r="AI113" s="16">
        <f t="shared" ref="AI113" si="59">ROUND(AH113/0.7*1.22,0)</f>
        <v>27</v>
      </c>
      <c r="AJ113" s="5" t="s">
        <v>135</v>
      </c>
      <c r="AK113" s="13"/>
      <c r="AL113" s="95"/>
      <c r="AM113" s="97"/>
      <c r="AN113" s="104"/>
      <c r="AO113" s="218"/>
      <c r="AP113" s="159">
        <v>10</v>
      </c>
      <c r="AQ113" s="145">
        <v>10</v>
      </c>
      <c r="AR113" s="219">
        <v>0</v>
      </c>
      <c r="AS113" s="131">
        <v>5</v>
      </c>
      <c r="AT113" s="165">
        <v>5</v>
      </c>
      <c r="AU113" s="220">
        <v>0</v>
      </c>
      <c r="AV113" s="222">
        <f t="shared" si="38"/>
        <v>0</v>
      </c>
    </row>
    <row r="114" spans="1:48" ht="18.75" customHeight="1" x14ac:dyDescent="0.3">
      <c r="A114" s="29" t="s">
        <v>141</v>
      </c>
      <c r="B114" s="26" t="s">
        <v>151</v>
      </c>
      <c r="C114" s="18" t="s">
        <v>81</v>
      </c>
      <c r="D114" s="19" t="s">
        <v>82</v>
      </c>
      <c r="E114" s="20" t="s">
        <v>132</v>
      </c>
      <c r="F114" s="6"/>
      <c r="G114" s="45">
        <v>2</v>
      </c>
      <c r="H114" s="6"/>
      <c r="I114" s="45"/>
      <c r="J114" s="6"/>
      <c r="K114" s="6"/>
      <c r="L114" s="45"/>
      <c r="M114" s="6"/>
      <c r="N114" s="6"/>
      <c r="O114" s="6"/>
      <c r="P114" s="45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45"/>
      <c r="AB114" s="6"/>
      <c r="AC114" s="6"/>
      <c r="AD114" s="6"/>
      <c r="AE114" s="7">
        <v>4.9139999999999997</v>
      </c>
      <c r="AF114" s="7"/>
      <c r="AG114" s="16">
        <f t="shared" si="42"/>
        <v>12.8</v>
      </c>
      <c r="AH114" s="17">
        <f t="shared" si="43"/>
        <v>18.8</v>
      </c>
      <c r="AI114" s="16">
        <f t="shared" si="44"/>
        <v>33</v>
      </c>
      <c r="AJ114" s="5" t="s">
        <v>135</v>
      </c>
      <c r="AK114" s="13"/>
      <c r="AL114" s="95"/>
      <c r="AM114" s="131">
        <v>8</v>
      </c>
      <c r="AN114" s="104">
        <v>8</v>
      </c>
      <c r="AO114" s="218">
        <v>0</v>
      </c>
      <c r="AP114" s="144"/>
      <c r="AQ114" s="145"/>
      <c r="AR114" s="219"/>
      <c r="AS114" s="97"/>
      <c r="AT114" s="165"/>
      <c r="AU114" s="220"/>
      <c r="AV114" s="222">
        <f t="shared" si="38"/>
        <v>0</v>
      </c>
    </row>
    <row r="115" spans="1:48" ht="18.75" customHeight="1" x14ac:dyDescent="0.3">
      <c r="A115" s="29" t="s">
        <v>141</v>
      </c>
      <c r="B115" s="126" t="s">
        <v>723</v>
      </c>
      <c r="C115" s="18" t="s">
        <v>81</v>
      </c>
      <c r="D115" s="19" t="s">
        <v>82</v>
      </c>
      <c r="E115" s="20" t="s">
        <v>132</v>
      </c>
      <c r="F115" s="6"/>
      <c r="G115" s="45"/>
      <c r="H115" s="6"/>
      <c r="I115" s="45"/>
      <c r="J115" s="6">
        <v>2</v>
      </c>
      <c r="K115" s="6"/>
      <c r="L115" s="45"/>
      <c r="M115" s="6">
        <v>2</v>
      </c>
      <c r="N115" s="6"/>
      <c r="O115" s="6"/>
      <c r="P115" s="45"/>
      <c r="Q115" s="6">
        <v>2</v>
      </c>
      <c r="R115" s="6"/>
      <c r="S115" s="6"/>
      <c r="T115" s="6"/>
      <c r="U115" s="6"/>
      <c r="V115" s="6"/>
      <c r="W115" s="6"/>
      <c r="X115" s="6"/>
      <c r="Y115" s="6">
        <v>2</v>
      </c>
      <c r="Z115" s="6"/>
      <c r="AA115" s="45"/>
      <c r="AB115" s="6">
        <v>2</v>
      </c>
      <c r="AC115" s="6"/>
      <c r="AD115" s="6"/>
      <c r="AE115" s="7">
        <v>2.92</v>
      </c>
      <c r="AF115" s="7"/>
      <c r="AG115" s="16">
        <f t="shared" si="42"/>
        <v>9.3000000000000007</v>
      </c>
      <c r="AH115" s="17">
        <f t="shared" si="43"/>
        <v>15.3</v>
      </c>
      <c r="AI115" s="16">
        <f t="shared" si="44"/>
        <v>27</v>
      </c>
      <c r="AJ115" s="5" t="s">
        <v>135</v>
      </c>
      <c r="AK115" s="13"/>
      <c r="AL115" s="95"/>
      <c r="AM115" s="97"/>
      <c r="AN115" s="104"/>
      <c r="AO115" s="218"/>
      <c r="AP115" s="159">
        <v>20</v>
      </c>
      <c r="AQ115" s="145">
        <v>20</v>
      </c>
      <c r="AR115" s="219">
        <v>0</v>
      </c>
      <c r="AS115" s="131">
        <v>10</v>
      </c>
      <c r="AT115" s="165">
        <v>10</v>
      </c>
      <c r="AU115" s="220">
        <v>0</v>
      </c>
      <c r="AV115" s="222">
        <f t="shared" si="38"/>
        <v>0</v>
      </c>
    </row>
    <row r="116" spans="1:48" ht="18.75" customHeight="1" x14ac:dyDescent="0.3">
      <c r="A116" s="29" t="s">
        <v>142</v>
      </c>
      <c r="B116" s="26" t="s">
        <v>152</v>
      </c>
      <c r="C116" s="18" t="s">
        <v>81</v>
      </c>
      <c r="D116" s="19" t="s">
        <v>82</v>
      </c>
      <c r="E116" s="20" t="s">
        <v>112</v>
      </c>
      <c r="F116" s="6"/>
      <c r="G116" s="45">
        <v>1</v>
      </c>
      <c r="H116" s="6"/>
      <c r="I116" s="45"/>
      <c r="J116" s="6"/>
      <c r="K116" s="6"/>
      <c r="L116" s="45"/>
      <c r="M116" s="6"/>
      <c r="N116" s="6"/>
      <c r="O116" s="6"/>
      <c r="P116" s="4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45"/>
      <c r="AB116" s="6"/>
      <c r="AC116" s="6"/>
      <c r="AD116" s="6"/>
      <c r="AE116" s="7">
        <v>4.9139999999999997</v>
      </c>
      <c r="AF116" s="7"/>
      <c r="AG116" s="16">
        <f t="shared" si="42"/>
        <v>12.8</v>
      </c>
      <c r="AH116" s="17">
        <f t="shared" si="43"/>
        <v>18.8</v>
      </c>
      <c r="AI116" s="16">
        <f t="shared" si="44"/>
        <v>33</v>
      </c>
      <c r="AJ116" s="5" t="s">
        <v>135</v>
      </c>
      <c r="AK116" s="13"/>
      <c r="AL116" s="95"/>
      <c r="AM116" s="131">
        <v>4</v>
      </c>
      <c r="AN116" s="104">
        <v>4</v>
      </c>
      <c r="AO116" s="218">
        <v>0</v>
      </c>
      <c r="AP116" s="144"/>
      <c r="AQ116" s="145"/>
      <c r="AR116" s="219"/>
      <c r="AS116" s="97"/>
      <c r="AT116" s="165"/>
      <c r="AU116" s="220"/>
      <c r="AV116" s="222">
        <f t="shared" si="38"/>
        <v>0</v>
      </c>
    </row>
    <row r="117" spans="1:48" ht="18.75" customHeight="1" x14ac:dyDescent="0.3">
      <c r="A117" s="29" t="s">
        <v>142</v>
      </c>
      <c r="B117" s="126" t="s">
        <v>725</v>
      </c>
      <c r="C117" s="18" t="s">
        <v>81</v>
      </c>
      <c r="D117" s="19" t="s">
        <v>82</v>
      </c>
      <c r="E117" s="20" t="s">
        <v>112</v>
      </c>
      <c r="F117" s="6"/>
      <c r="G117" s="45"/>
      <c r="H117" s="6"/>
      <c r="I117" s="45"/>
      <c r="J117" s="6">
        <v>1</v>
      </c>
      <c r="K117" s="6"/>
      <c r="L117" s="45"/>
      <c r="M117" s="6">
        <v>1</v>
      </c>
      <c r="N117" s="6"/>
      <c r="O117" s="6"/>
      <c r="P117" s="45"/>
      <c r="Q117" s="6">
        <v>1</v>
      </c>
      <c r="R117" s="6"/>
      <c r="S117" s="6"/>
      <c r="T117" s="6"/>
      <c r="U117" s="6"/>
      <c r="V117" s="6"/>
      <c r="W117" s="6"/>
      <c r="X117" s="6"/>
      <c r="Y117" s="6">
        <v>1</v>
      </c>
      <c r="Z117" s="6"/>
      <c r="AA117" s="45"/>
      <c r="AB117" s="6">
        <v>1</v>
      </c>
      <c r="AC117" s="6"/>
      <c r="AD117" s="6"/>
      <c r="AE117" s="7">
        <v>2.92</v>
      </c>
      <c r="AF117" s="7"/>
      <c r="AG117" s="16">
        <f t="shared" ref="AG117:AG118" si="60">ROUND((AE117*1.2*1.5+4)*10,0)/10</f>
        <v>9.3000000000000007</v>
      </c>
      <c r="AH117" s="17">
        <f t="shared" ref="AH117:AH118" si="61">ROUND((AE117*1.2*1.5+10)*10,0)/10</f>
        <v>15.3</v>
      </c>
      <c r="AI117" s="16">
        <f t="shared" ref="AI117:AI118" si="62">ROUND(AH117/0.7*1.22,0)</f>
        <v>27</v>
      </c>
      <c r="AJ117" s="5" t="s">
        <v>135</v>
      </c>
      <c r="AK117" s="13"/>
      <c r="AL117" s="95"/>
      <c r="AM117" s="97"/>
      <c r="AN117" s="104"/>
      <c r="AO117" s="218"/>
      <c r="AP117" s="159">
        <v>15</v>
      </c>
      <c r="AQ117" s="145">
        <v>15</v>
      </c>
      <c r="AR117" s="219">
        <v>0</v>
      </c>
      <c r="AS117" s="131">
        <v>5</v>
      </c>
      <c r="AT117" s="165">
        <v>5</v>
      </c>
      <c r="AU117" s="220">
        <v>0</v>
      </c>
      <c r="AV117" s="222">
        <f t="shared" si="38"/>
        <v>0</v>
      </c>
    </row>
    <row r="118" spans="1:48" ht="18.75" customHeight="1" x14ac:dyDescent="0.3">
      <c r="A118" s="29">
        <v>37</v>
      </c>
      <c r="B118" s="126" t="s">
        <v>760</v>
      </c>
      <c r="C118" s="18" t="s">
        <v>81</v>
      </c>
      <c r="D118" s="19" t="s">
        <v>82</v>
      </c>
      <c r="E118" s="20" t="s">
        <v>761</v>
      </c>
      <c r="F118" s="6"/>
      <c r="G118" s="45"/>
      <c r="H118" s="6"/>
      <c r="I118" s="45">
        <v>1</v>
      </c>
      <c r="J118" s="6"/>
      <c r="K118" s="6"/>
      <c r="L118" s="45">
        <v>1</v>
      </c>
      <c r="M118" s="6"/>
      <c r="N118" s="6"/>
      <c r="O118" s="6">
        <v>1</v>
      </c>
      <c r="P118" s="45">
        <v>1</v>
      </c>
      <c r="Q118" s="6"/>
      <c r="R118" s="6"/>
      <c r="S118" s="6"/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/>
      <c r="Z118" s="6"/>
      <c r="AA118" s="45">
        <v>1</v>
      </c>
      <c r="AB118" s="6"/>
      <c r="AC118" s="6"/>
      <c r="AD118" s="6">
        <v>1</v>
      </c>
      <c r="AE118" s="7">
        <v>2.94</v>
      </c>
      <c r="AF118" s="180">
        <v>1.7290000000000001</v>
      </c>
      <c r="AG118" s="16">
        <f t="shared" si="60"/>
        <v>9.3000000000000007</v>
      </c>
      <c r="AH118" s="17">
        <f t="shared" si="61"/>
        <v>15.3</v>
      </c>
      <c r="AI118" s="16">
        <f t="shared" si="62"/>
        <v>27</v>
      </c>
      <c r="AJ118" s="5" t="s">
        <v>135</v>
      </c>
      <c r="AK118" s="13"/>
      <c r="AL118" s="95"/>
      <c r="AM118" s="97"/>
      <c r="AN118" s="104"/>
      <c r="AO118" s="218"/>
      <c r="AP118" s="159">
        <v>10</v>
      </c>
      <c r="AQ118" s="145">
        <v>10</v>
      </c>
      <c r="AR118" s="219">
        <v>0</v>
      </c>
      <c r="AS118" s="97"/>
      <c r="AT118" s="165"/>
      <c r="AU118" s="220"/>
      <c r="AV118" s="222">
        <f t="shared" si="38"/>
        <v>0</v>
      </c>
    </row>
    <row r="119" spans="1:48" ht="18.75" customHeight="1" x14ac:dyDescent="0.3">
      <c r="A119" s="29">
        <v>27</v>
      </c>
      <c r="B119" s="26" t="s">
        <v>153</v>
      </c>
      <c r="C119" s="18" t="s">
        <v>91</v>
      </c>
      <c r="D119" s="19" t="s">
        <v>92</v>
      </c>
      <c r="E119" s="20" t="s">
        <v>120</v>
      </c>
      <c r="F119" s="6"/>
      <c r="G119" s="45">
        <v>1</v>
      </c>
      <c r="H119" s="6"/>
      <c r="I119" s="45"/>
      <c r="J119" s="6">
        <v>1</v>
      </c>
      <c r="K119" s="6"/>
      <c r="L119" s="45"/>
      <c r="M119" s="6"/>
      <c r="N119" s="6"/>
      <c r="O119" s="6"/>
      <c r="P119" s="45"/>
      <c r="Q119" s="6">
        <v>1</v>
      </c>
      <c r="R119" s="6"/>
      <c r="S119" s="6"/>
      <c r="T119" s="6"/>
      <c r="U119" s="6"/>
      <c r="V119" s="6"/>
      <c r="W119" s="6"/>
      <c r="X119" s="6"/>
      <c r="Y119" s="6"/>
      <c r="Z119" s="6"/>
      <c r="AA119" s="45"/>
      <c r="AB119" s="6"/>
      <c r="AC119" s="6"/>
      <c r="AD119" s="6"/>
      <c r="AE119" s="7">
        <v>1.1180000000000001</v>
      </c>
      <c r="AF119" s="7"/>
      <c r="AG119" s="16">
        <f t="shared" si="42"/>
        <v>6</v>
      </c>
      <c r="AH119" s="17">
        <f t="shared" si="43"/>
        <v>12</v>
      </c>
      <c r="AI119" s="16">
        <f t="shared" si="44"/>
        <v>21</v>
      </c>
      <c r="AJ119" s="5" t="s">
        <v>135</v>
      </c>
      <c r="AK119" s="13"/>
      <c r="AL119" s="95"/>
      <c r="AM119" s="131">
        <v>3</v>
      </c>
      <c r="AN119" s="104">
        <v>3</v>
      </c>
      <c r="AO119" s="218">
        <v>0</v>
      </c>
      <c r="AP119" s="144"/>
      <c r="AQ119" s="145"/>
      <c r="AR119" s="219"/>
      <c r="AS119" s="97"/>
      <c r="AT119" s="165"/>
      <c r="AU119" s="220"/>
      <c r="AV119" s="222">
        <f t="shared" si="38"/>
        <v>0</v>
      </c>
    </row>
    <row r="120" spans="1:48" ht="18.75" customHeight="1" x14ac:dyDescent="0.3">
      <c r="A120" s="29">
        <v>27</v>
      </c>
      <c r="B120" s="126" t="s">
        <v>726</v>
      </c>
      <c r="C120" s="18" t="s">
        <v>91</v>
      </c>
      <c r="D120" s="19" t="s">
        <v>92</v>
      </c>
      <c r="E120" s="20" t="s">
        <v>120</v>
      </c>
      <c r="F120" s="6"/>
      <c r="G120" s="45"/>
      <c r="H120" s="6"/>
      <c r="I120" s="45"/>
      <c r="J120" s="6"/>
      <c r="K120" s="6"/>
      <c r="L120" s="45"/>
      <c r="M120" s="6"/>
      <c r="N120" s="6"/>
      <c r="O120" s="6"/>
      <c r="P120" s="45"/>
      <c r="Q120" s="6"/>
      <c r="R120" s="6"/>
      <c r="S120" s="6"/>
      <c r="T120" s="6"/>
      <c r="U120" s="6"/>
      <c r="V120" s="6"/>
      <c r="W120" s="6"/>
      <c r="X120" s="6"/>
      <c r="Y120" s="6">
        <v>1</v>
      </c>
      <c r="Z120" s="6"/>
      <c r="AA120" s="45"/>
      <c r="AB120" s="6">
        <v>1</v>
      </c>
      <c r="AC120" s="6"/>
      <c r="AD120" s="6"/>
      <c r="AE120" s="7">
        <v>0.97</v>
      </c>
      <c r="AF120" s="7"/>
      <c r="AG120" s="16">
        <f t="shared" ref="AG120:AG123" si="63">ROUND((AE120*1.2*1.5+4)*10,0)/10</f>
        <v>5.7</v>
      </c>
      <c r="AH120" s="17">
        <f t="shared" ref="AH120:AH123" si="64">ROUND((AE120*1.2*1.5+10)*10,0)/10</f>
        <v>11.7</v>
      </c>
      <c r="AI120" s="16">
        <f t="shared" ref="AI120:AI123" si="65">ROUND(AH120/0.7*1.22,0)</f>
        <v>20</v>
      </c>
      <c r="AJ120" s="5" t="s">
        <v>135</v>
      </c>
      <c r="AK120" s="13"/>
      <c r="AL120" s="95"/>
      <c r="AM120" s="97"/>
      <c r="AN120" s="104"/>
      <c r="AO120" s="218"/>
      <c r="AP120" s="159">
        <v>3</v>
      </c>
      <c r="AQ120" s="145">
        <v>3</v>
      </c>
      <c r="AR120" s="219">
        <v>0</v>
      </c>
      <c r="AS120" s="97"/>
      <c r="AT120" s="165"/>
      <c r="AU120" s="220"/>
      <c r="AV120" s="222">
        <f t="shared" si="38"/>
        <v>0</v>
      </c>
    </row>
    <row r="121" spans="1:48" ht="18.75" customHeight="1" x14ac:dyDescent="0.3">
      <c r="A121" s="147">
        <v>27</v>
      </c>
      <c r="B121" s="148" t="s">
        <v>884</v>
      </c>
      <c r="C121" s="18" t="s">
        <v>91</v>
      </c>
      <c r="D121" s="19" t="s">
        <v>92</v>
      </c>
      <c r="E121" s="20" t="s">
        <v>120</v>
      </c>
      <c r="F121" s="6"/>
      <c r="G121" s="45"/>
      <c r="H121" s="6"/>
      <c r="I121" s="45"/>
      <c r="J121" s="6"/>
      <c r="K121" s="6"/>
      <c r="L121" s="45"/>
      <c r="M121" s="6">
        <v>1</v>
      </c>
      <c r="N121" s="6"/>
      <c r="O121" s="6"/>
      <c r="P121" s="45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45"/>
      <c r="AB121" s="6"/>
      <c r="AC121" s="6"/>
      <c r="AD121" s="6"/>
      <c r="AE121" s="7">
        <v>0.96</v>
      </c>
      <c r="AF121" s="7"/>
      <c r="AG121" s="16">
        <f t="shared" si="63"/>
        <v>5.7</v>
      </c>
      <c r="AH121" s="17">
        <f t="shared" si="64"/>
        <v>11.7</v>
      </c>
      <c r="AI121" s="16">
        <f t="shared" si="65"/>
        <v>20</v>
      </c>
      <c r="AJ121" s="5" t="s">
        <v>135</v>
      </c>
      <c r="AK121" s="13"/>
      <c r="AL121" s="95"/>
      <c r="AM121" s="97"/>
      <c r="AN121" s="104"/>
      <c r="AO121" s="218"/>
      <c r="AP121" s="144"/>
      <c r="AQ121" s="145"/>
      <c r="AR121" s="219"/>
      <c r="AS121" s="131">
        <v>4</v>
      </c>
      <c r="AT121" s="165">
        <v>4</v>
      </c>
      <c r="AU121" s="220">
        <v>0</v>
      </c>
      <c r="AV121" s="222">
        <f t="shared" si="38"/>
        <v>0</v>
      </c>
    </row>
    <row r="122" spans="1:48" ht="18.75" customHeight="1" x14ac:dyDescent="0.3">
      <c r="A122" s="29">
        <v>29</v>
      </c>
      <c r="B122" s="126" t="s">
        <v>747</v>
      </c>
      <c r="C122" s="18" t="s">
        <v>91</v>
      </c>
      <c r="D122" s="19" t="s">
        <v>92</v>
      </c>
      <c r="E122" s="20" t="s">
        <v>120</v>
      </c>
      <c r="F122" s="6"/>
      <c r="G122" s="45"/>
      <c r="H122" s="6"/>
      <c r="I122" s="45"/>
      <c r="J122" s="6"/>
      <c r="K122" s="6"/>
      <c r="L122" s="45">
        <v>1</v>
      </c>
      <c r="M122" s="6"/>
      <c r="N122" s="6"/>
      <c r="O122" s="6">
        <v>1</v>
      </c>
      <c r="P122" s="45"/>
      <c r="Q122" s="6"/>
      <c r="R122" s="6"/>
      <c r="S122" s="6"/>
      <c r="T122" s="6">
        <v>1</v>
      </c>
      <c r="U122" s="6">
        <v>1</v>
      </c>
      <c r="V122" s="6"/>
      <c r="W122" s="6"/>
      <c r="X122" s="6"/>
      <c r="Y122" s="6"/>
      <c r="Z122" s="6"/>
      <c r="AA122" s="45">
        <v>1</v>
      </c>
      <c r="AB122" s="6"/>
      <c r="AC122" s="6"/>
      <c r="AD122" s="6">
        <v>1</v>
      </c>
      <c r="AE122" s="7">
        <v>2.4300000000000002</v>
      </c>
      <c r="AF122" s="7"/>
      <c r="AG122" s="16">
        <f t="shared" si="63"/>
        <v>8.4</v>
      </c>
      <c r="AH122" s="17">
        <f t="shared" si="64"/>
        <v>14.4</v>
      </c>
      <c r="AI122" s="16">
        <f t="shared" si="65"/>
        <v>25</v>
      </c>
      <c r="AJ122" s="5" t="s">
        <v>135</v>
      </c>
      <c r="AK122" s="13"/>
      <c r="AL122" s="95"/>
      <c r="AM122" s="97"/>
      <c r="AN122" s="104"/>
      <c r="AO122" s="218"/>
      <c r="AP122" s="159">
        <v>2</v>
      </c>
      <c r="AQ122" s="145">
        <v>2</v>
      </c>
      <c r="AR122" s="219">
        <v>0</v>
      </c>
      <c r="AS122" s="131">
        <v>1</v>
      </c>
      <c r="AT122" s="165">
        <v>1</v>
      </c>
      <c r="AU122" s="220">
        <v>0</v>
      </c>
      <c r="AV122" s="222">
        <f t="shared" si="38"/>
        <v>0</v>
      </c>
    </row>
    <row r="123" spans="1:48" ht="18.75" customHeight="1" x14ac:dyDescent="0.3">
      <c r="A123" s="29">
        <v>18</v>
      </c>
      <c r="B123" s="126" t="s">
        <v>788</v>
      </c>
      <c r="C123" s="18" t="s">
        <v>91</v>
      </c>
      <c r="D123" s="19" t="s">
        <v>92</v>
      </c>
      <c r="E123" s="20" t="s">
        <v>120</v>
      </c>
      <c r="F123" s="6"/>
      <c r="G123" s="45"/>
      <c r="H123" s="6"/>
      <c r="I123" s="45"/>
      <c r="J123" s="6"/>
      <c r="K123" s="6"/>
      <c r="L123" s="45"/>
      <c r="M123" s="6"/>
      <c r="N123" s="6"/>
      <c r="O123" s="6"/>
      <c r="P123" s="45">
        <v>1</v>
      </c>
      <c r="Q123" s="6"/>
      <c r="R123" s="6"/>
      <c r="S123" s="6"/>
      <c r="T123" s="6"/>
      <c r="U123" s="6"/>
      <c r="V123" s="6">
        <v>1</v>
      </c>
      <c r="W123" s="6"/>
      <c r="X123" s="6"/>
      <c r="Y123" s="6"/>
      <c r="Z123" s="6"/>
      <c r="AA123" s="45"/>
      <c r="AB123" s="6"/>
      <c r="AC123" s="6"/>
      <c r="AD123" s="6"/>
      <c r="AE123" s="7">
        <v>1.94</v>
      </c>
      <c r="AF123" s="7"/>
      <c r="AG123" s="16">
        <f t="shared" si="63"/>
        <v>7.5</v>
      </c>
      <c r="AH123" s="17">
        <f t="shared" si="64"/>
        <v>13.5</v>
      </c>
      <c r="AI123" s="16">
        <f t="shared" si="65"/>
        <v>24</v>
      </c>
      <c r="AJ123" s="5" t="s">
        <v>135</v>
      </c>
      <c r="AK123" s="13"/>
      <c r="AL123" s="95"/>
      <c r="AM123" s="97"/>
      <c r="AN123" s="104"/>
      <c r="AO123" s="218"/>
      <c r="AP123" s="159">
        <v>2</v>
      </c>
      <c r="AQ123" s="145">
        <v>2</v>
      </c>
      <c r="AR123" s="219">
        <v>0</v>
      </c>
      <c r="AS123" s="97"/>
      <c r="AT123" s="165"/>
      <c r="AU123" s="220"/>
      <c r="AV123" s="222">
        <f t="shared" si="38"/>
        <v>0</v>
      </c>
    </row>
    <row r="124" spans="1:48" ht="18.75" customHeight="1" x14ac:dyDescent="0.3">
      <c r="A124" s="29">
        <v>31</v>
      </c>
      <c r="B124" s="26" t="s">
        <v>155</v>
      </c>
      <c r="C124" s="18" t="s">
        <v>79</v>
      </c>
      <c r="D124" s="19" t="s">
        <v>80</v>
      </c>
      <c r="E124" s="20" t="s">
        <v>123</v>
      </c>
      <c r="F124" s="6"/>
      <c r="G124" s="45">
        <v>1</v>
      </c>
      <c r="H124" s="6"/>
      <c r="I124" s="45"/>
      <c r="J124" s="6">
        <v>1</v>
      </c>
      <c r="K124" s="6"/>
      <c r="L124" s="45"/>
      <c r="M124" s="6">
        <v>1</v>
      </c>
      <c r="N124" s="6"/>
      <c r="O124" s="6"/>
      <c r="P124" s="45"/>
      <c r="Q124" s="6">
        <v>1</v>
      </c>
      <c r="R124" s="6"/>
      <c r="S124" s="6"/>
      <c r="T124" s="6"/>
      <c r="U124" s="6"/>
      <c r="V124" s="6"/>
      <c r="W124" s="6"/>
      <c r="X124" s="6"/>
      <c r="Y124" s="6">
        <v>1</v>
      </c>
      <c r="Z124" s="6"/>
      <c r="AA124" s="45"/>
      <c r="AB124" s="6">
        <v>1</v>
      </c>
      <c r="AC124" s="6"/>
      <c r="AD124" s="6"/>
      <c r="AE124" s="7">
        <v>0.39</v>
      </c>
      <c r="AF124" s="7"/>
      <c r="AG124" s="16">
        <f t="shared" si="42"/>
        <v>4.7</v>
      </c>
      <c r="AH124" s="17">
        <f t="shared" si="43"/>
        <v>10.7</v>
      </c>
      <c r="AI124" s="16">
        <f t="shared" si="44"/>
        <v>19</v>
      </c>
      <c r="AJ124" s="5" t="s">
        <v>135</v>
      </c>
      <c r="AK124" s="13"/>
      <c r="AL124" s="95"/>
      <c r="AM124" s="131">
        <v>3</v>
      </c>
      <c r="AN124" s="104">
        <v>3</v>
      </c>
      <c r="AO124" s="218">
        <v>0</v>
      </c>
      <c r="AP124" s="159">
        <v>2</v>
      </c>
      <c r="AQ124" s="145">
        <v>2</v>
      </c>
      <c r="AR124" s="219">
        <v>0</v>
      </c>
      <c r="AS124" s="97"/>
      <c r="AT124" s="165"/>
      <c r="AU124" s="220"/>
      <c r="AV124" s="222">
        <f t="shared" si="38"/>
        <v>0</v>
      </c>
    </row>
    <row r="125" spans="1:48" ht="18.75" customHeight="1" x14ac:dyDescent="0.3">
      <c r="A125" s="29">
        <v>32</v>
      </c>
      <c r="B125" s="26" t="s">
        <v>156</v>
      </c>
      <c r="C125" s="18" t="s">
        <v>79</v>
      </c>
      <c r="D125" s="19" t="s">
        <v>80</v>
      </c>
      <c r="E125" s="20" t="s">
        <v>165</v>
      </c>
      <c r="F125" s="6"/>
      <c r="G125" s="45">
        <v>2</v>
      </c>
      <c r="H125" s="6"/>
      <c r="I125" s="45"/>
      <c r="J125" s="6">
        <v>2</v>
      </c>
      <c r="K125" s="6"/>
      <c r="L125" s="45"/>
      <c r="M125" s="6">
        <v>2</v>
      </c>
      <c r="N125" s="6"/>
      <c r="O125" s="6"/>
      <c r="P125" s="45"/>
      <c r="Q125" s="6">
        <v>2</v>
      </c>
      <c r="R125" s="6"/>
      <c r="S125" s="6"/>
      <c r="T125" s="6"/>
      <c r="U125" s="6"/>
      <c r="V125" s="6"/>
      <c r="W125" s="6"/>
      <c r="X125" s="6"/>
      <c r="Y125" s="6">
        <v>2</v>
      </c>
      <c r="Z125" s="6"/>
      <c r="AA125" s="45"/>
      <c r="AB125" s="6">
        <v>2</v>
      </c>
      <c r="AC125" s="6"/>
      <c r="AD125" s="6"/>
      <c r="AE125" s="7">
        <v>0.53</v>
      </c>
      <c r="AF125" s="7"/>
      <c r="AG125" s="16">
        <f t="shared" si="42"/>
        <v>5</v>
      </c>
      <c r="AH125" s="17">
        <f t="shared" si="43"/>
        <v>11</v>
      </c>
      <c r="AI125" s="16">
        <f t="shared" si="44"/>
        <v>19</v>
      </c>
      <c r="AJ125" s="5" t="s">
        <v>135</v>
      </c>
      <c r="AK125" s="13"/>
      <c r="AL125" s="95"/>
      <c r="AM125" s="131">
        <v>4</v>
      </c>
      <c r="AN125" s="104">
        <v>4</v>
      </c>
      <c r="AO125" s="218">
        <v>0</v>
      </c>
      <c r="AP125" s="159">
        <v>4</v>
      </c>
      <c r="AQ125" s="145">
        <v>4</v>
      </c>
      <c r="AR125" s="219">
        <v>0</v>
      </c>
      <c r="AS125" s="97"/>
      <c r="AT125" s="165"/>
      <c r="AU125" s="220"/>
      <c r="AV125" s="222">
        <f t="shared" si="38"/>
        <v>0</v>
      </c>
    </row>
    <row r="126" spans="1:48" ht="18.75" customHeight="1" x14ac:dyDescent="0.3">
      <c r="A126" s="29">
        <v>7</v>
      </c>
      <c r="B126" s="24" t="s">
        <v>625</v>
      </c>
      <c r="C126" s="18" t="s">
        <v>69</v>
      </c>
      <c r="D126" s="19" t="s">
        <v>70</v>
      </c>
      <c r="E126" s="20" t="s">
        <v>101</v>
      </c>
      <c r="F126" s="6"/>
      <c r="G126" s="45">
        <v>2</v>
      </c>
      <c r="H126" s="6">
        <v>2</v>
      </c>
      <c r="I126" s="45">
        <v>2</v>
      </c>
      <c r="J126" s="6">
        <v>2</v>
      </c>
      <c r="K126" s="6">
        <v>2</v>
      </c>
      <c r="L126" s="45">
        <v>2</v>
      </c>
      <c r="M126" s="6">
        <v>2</v>
      </c>
      <c r="N126" s="6">
        <v>2</v>
      </c>
      <c r="O126" s="6"/>
      <c r="P126" s="45">
        <v>2</v>
      </c>
      <c r="Q126" s="6">
        <v>2</v>
      </c>
      <c r="R126" s="6">
        <v>2</v>
      </c>
      <c r="S126" s="6">
        <v>2</v>
      </c>
      <c r="T126" s="6">
        <v>2</v>
      </c>
      <c r="U126" s="6">
        <v>2</v>
      </c>
      <c r="V126" s="6">
        <v>2</v>
      </c>
      <c r="W126" s="6"/>
      <c r="X126" s="6">
        <v>2</v>
      </c>
      <c r="Y126" s="6">
        <v>2</v>
      </c>
      <c r="Z126" s="6">
        <v>2</v>
      </c>
      <c r="AA126" s="45">
        <v>2</v>
      </c>
      <c r="AB126" s="6">
        <v>2</v>
      </c>
      <c r="AC126" s="6">
        <v>2</v>
      </c>
      <c r="AD126" s="6">
        <v>2</v>
      </c>
      <c r="AE126" s="7">
        <v>0.5</v>
      </c>
      <c r="AF126" s="180">
        <v>14.82</v>
      </c>
      <c r="AG126" s="16">
        <f t="shared" si="42"/>
        <v>4.9000000000000004</v>
      </c>
      <c r="AH126" s="17">
        <f t="shared" si="43"/>
        <v>10.9</v>
      </c>
      <c r="AI126" s="16">
        <f t="shared" si="44"/>
        <v>19</v>
      </c>
      <c r="AJ126" s="5" t="s">
        <v>138</v>
      </c>
      <c r="AK126" s="13"/>
      <c r="AL126" s="95"/>
      <c r="AM126" s="131">
        <v>10</v>
      </c>
      <c r="AN126" s="104">
        <v>10</v>
      </c>
      <c r="AO126" s="218">
        <v>0</v>
      </c>
      <c r="AP126" s="159">
        <v>80</v>
      </c>
      <c r="AQ126" s="145">
        <v>80</v>
      </c>
      <c r="AR126" s="219">
        <v>0</v>
      </c>
      <c r="AS126" s="131">
        <v>10</v>
      </c>
      <c r="AT126" s="165">
        <v>10</v>
      </c>
      <c r="AU126" s="220">
        <v>0</v>
      </c>
      <c r="AV126" s="222">
        <f t="shared" si="38"/>
        <v>0</v>
      </c>
    </row>
    <row r="127" spans="1:48" ht="18.75" customHeight="1" x14ac:dyDescent="0.3">
      <c r="A127" s="29">
        <v>13</v>
      </c>
      <c r="B127" s="24" t="s">
        <v>636</v>
      </c>
      <c r="C127" s="18" t="s">
        <v>69</v>
      </c>
      <c r="D127" s="19" t="s">
        <v>70</v>
      </c>
      <c r="E127" s="20" t="s">
        <v>101</v>
      </c>
      <c r="F127" s="6">
        <v>2</v>
      </c>
      <c r="G127" s="45"/>
      <c r="H127" s="6"/>
      <c r="I127" s="45"/>
      <c r="J127" s="6"/>
      <c r="K127" s="6"/>
      <c r="L127" s="45"/>
      <c r="M127" s="6"/>
      <c r="N127" s="6"/>
      <c r="O127" s="6"/>
      <c r="P127" s="45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45"/>
      <c r="AB127" s="6"/>
      <c r="AC127" s="6"/>
      <c r="AD127" s="6"/>
      <c r="AE127" s="7">
        <v>0.88</v>
      </c>
      <c r="AF127" s="7"/>
      <c r="AG127" s="16">
        <f t="shared" ref="AG127" si="66">ROUND((AE127*1.2*1.5+4)*10,0)/10</f>
        <v>5.6</v>
      </c>
      <c r="AH127" s="17">
        <f t="shared" ref="AH127" si="67">ROUND((AE127*1.2*1.5+10)*10,0)/10</f>
        <v>11.6</v>
      </c>
      <c r="AI127" s="16">
        <f t="shared" ref="AI127" si="68">ROUND(AH127/0.7*1.22,0)</f>
        <v>20</v>
      </c>
      <c r="AJ127" s="5" t="s">
        <v>138</v>
      </c>
      <c r="AK127" s="13"/>
      <c r="AL127" s="95"/>
      <c r="AM127" s="131">
        <v>10</v>
      </c>
      <c r="AN127" s="104">
        <v>10</v>
      </c>
      <c r="AO127" s="218">
        <v>0</v>
      </c>
      <c r="AP127" s="144"/>
      <c r="AQ127" s="145"/>
      <c r="AR127" s="219"/>
      <c r="AS127" s="97"/>
      <c r="AT127" s="165"/>
      <c r="AU127" s="220"/>
      <c r="AV127" s="222">
        <f t="shared" si="38"/>
        <v>0</v>
      </c>
    </row>
    <row r="128" spans="1:48" ht="18.75" customHeight="1" x14ac:dyDescent="0.3">
      <c r="A128" s="30">
        <v>13</v>
      </c>
      <c r="B128" s="24" t="s">
        <v>33</v>
      </c>
      <c r="C128" s="18" t="s">
        <v>69</v>
      </c>
      <c r="D128" s="19" t="s">
        <v>70</v>
      </c>
      <c r="E128" s="20" t="s">
        <v>106</v>
      </c>
      <c r="F128" s="6"/>
      <c r="G128" s="45">
        <v>1</v>
      </c>
      <c r="H128" s="6">
        <v>1</v>
      </c>
      <c r="I128" s="45">
        <v>1</v>
      </c>
      <c r="J128" s="6">
        <v>1</v>
      </c>
      <c r="K128" s="6">
        <v>1</v>
      </c>
      <c r="L128" s="45">
        <v>1</v>
      </c>
      <c r="M128" s="6">
        <v>1</v>
      </c>
      <c r="N128" s="6">
        <v>1</v>
      </c>
      <c r="O128" s="6">
        <v>1</v>
      </c>
      <c r="P128" s="45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45">
        <v>1</v>
      </c>
      <c r="AB128" s="6">
        <v>1</v>
      </c>
      <c r="AC128" s="6">
        <v>1</v>
      </c>
      <c r="AD128" s="6">
        <v>1</v>
      </c>
      <c r="AE128" s="7">
        <v>0.37</v>
      </c>
      <c r="AF128" s="180">
        <v>0.67600000000000005</v>
      </c>
      <c r="AG128" s="16">
        <f t="shared" si="42"/>
        <v>4.7</v>
      </c>
      <c r="AH128" s="17">
        <f t="shared" si="43"/>
        <v>10.7</v>
      </c>
      <c r="AI128" s="16">
        <f t="shared" si="44"/>
        <v>19</v>
      </c>
      <c r="AJ128" s="5" t="s">
        <v>138</v>
      </c>
      <c r="AK128" s="13"/>
      <c r="AL128" s="95"/>
      <c r="AM128" s="131">
        <v>5</v>
      </c>
      <c r="AN128" s="104">
        <v>5</v>
      </c>
      <c r="AO128" s="218">
        <v>0</v>
      </c>
      <c r="AP128" s="159">
        <v>40</v>
      </c>
      <c r="AQ128" s="145">
        <v>40</v>
      </c>
      <c r="AR128" s="219">
        <v>0</v>
      </c>
      <c r="AS128" s="131">
        <v>10</v>
      </c>
      <c r="AT128" s="165">
        <v>10</v>
      </c>
      <c r="AU128" s="220">
        <v>0</v>
      </c>
      <c r="AV128" s="222">
        <f t="shared" si="38"/>
        <v>0</v>
      </c>
    </row>
    <row r="129" spans="1:48" ht="18.75" customHeight="1" x14ac:dyDescent="0.3">
      <c r="A129" s="30">
        <v>21</v>
      </c>
      <c r="B129" s="24" t="s">
        <v>637</v>
      </c>
      <c r="C129" s="18" t="s">
        <v>69</v>
      </c>
      <c r="D129" s="19" t="s">
        <v>70</v>
      </c>
      <c r="E129" s="20" t="s">
        <v>106</v>
      </c>
      <c r="F129" s="6">
        <v>1</v>
      </c>
      <c r="G129" s="45"/>
      <c r="H129" s="6"/>
      <c r="I129" s="45"/>
      <c r="J129" s="6"/>
      <c r="K129" s="6"/>
      <c r="L129" s="45"/>
      <c r="M129" s="6"/>
      <c r="N129" s="6"/>
      <c r="O129" s="6"/>
      <c r="P129" s="45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45"/>
      <c r="AB129" s="6"/>
      <c r="AC129" s="6"/>
      <c r="AD129" s="6"/>
      <c r="AE129" s="7">
        <v>0.75</v>
      </c>
      <c r="AF129" s="7"/>
      <c r="AG129" s="16">
        <f t="shared" ref="AG129" si="69">ROUND((AE129*1.2*1.5+4)*10,0)/10</f>
        <v>5.4</v>
      </c>
      <c r="AH129" s="17">
        <f t="shared" ref="AH129" si="70">ROUND((AE129*1.2*1.5+10)*10,0)/10</f>
        <v>11.4</v>
      </c>
      <c r="AI129" s="16">
        <f t="shared" ref="AI129" si="71">ROUND(AH129/0.7*1.22,0)</f>
        <v>20</v>
      </c>
      <c r="AJ129" s="5" t="s">
        <v>138</v>
      </c>
      <c r="AK129" s="13"/>
      <c r="AL129" s="95"/>
      <c r="AM129" s="131">
        <v>5</v>
      </c>
      <c r="AN129" s="104">
        <v>5</v>
      </c>
      <c r="AO129" s="218">
        <v>0</v>
      </c>
      <c r="AP129" s="144"/>
      <c r="AQ129" s="145"/>
      <c r="AR129" s="219"/>
      <c r="AS129" s="97"/>
      <c r="AT129" s="165"/>
      <c r="AU129" s="220"/>
      <c r="AV129" s="222">
        <f t="shared" si="38"/>
        <v>0</v>
      </c>
    </row>
    <row r="130" spans="1:48" ht="18.75" customHeight="1" x14ac:dyDescent="0.3">
      <c r="A130" s="30">
        <v>30</v>
      </c>
      <c r="B130" s="24" t="s">
        <v>47</v>
      </c>
      <c r="C130" s="18" t="s">
        <v>69</v>
      </c>
      <c r="D130" s="19" t="s">
        <v>70</v>
      </c>
      <c r="E130" s="20" t="s">
        <v>119</v>
      </c>
      <c r="F130" s="6"/>
      <c r="G130" s="45">
        <v>1</v>
      </c>
      <c r="H130" s="6">
        <v>1</v>
      </c>
      <c r="I130" s="45">
        <v>1</v>
      </c>
      <c r="J130" s="6">
        <v>1</v>
      </c>
      <c r="K130" s="6">
        <v>1</v>
      </c>
      <c r="L130" s="45">
        <v>1</v>
      </c>
      <c r="M130" s="6">
        <v>1</v>
      </c>
      <c r="N130" s="6">
        <v>1</v>
      </c>
      <c r="O130" s="6">
        <v>1</v>
      </c>
      <c r="P130" s="45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/>
      <c r="X130" s="6">
        <v>1</v>
      </c>
      <c r="Y130" s="6">
        <v>1</v>
      </c>
      <c r="Z130" s="6">
        <v>1</v>
      </c>
      <c r="AA130" s="45">
        <v>1</v>
      </c>
      <c r="AB130" s="6">
        <v>1</v>
      </c>
      <c r="AC130" s="6">
        <v>1</v>
      </c>
      <c r="AD130" s="6">
        <v>1</v>
      </c>
      <c r="AE130" s="7">
        <v>1.28</v>
      </c>
      <c r="AF130" s="180">
        <v>0.36400000000000005</v>
      </c>
      <c r="AG130" s="16">
        <f t="shared" si="42"/>
        <v>6.3</v>
      </c>
      <c r="AH130" s="17">
        <f t="shared" si="43"/>
        <v>12.3</v>
      </c>
      <c r="AI130" s="16">
        <f t="shared" si="44"/>
        <v>21</v>
      </c>
      <c r="AJ130" s="5" t="s">
        <v>138</v>
      </c>
      <c r="AK130" s="13"/>
      <c r="AL130" s="95"/>
      <c r="AM130" s="131">
        <v>5</v>
      </c>
      <c r="AN130" s="104">
        <v>5</v>
      </c>
      <c r="AO130" s="218">
        <v>0</v>
      </c>
      <c r="AP130" s="159">
        <v>35</v>
      </c>
      <c r="AQ130" s="145">
        <v>35</v>
      </c>
      <c r="AR130" s="219">
        <v>0</v>
      </c>
      <c r="AS130" s="131">
        <v>10</v>
      </c>
      <c r="AT130" s="165">
        <v>10</v>
      </c>
      <c r="AU130" s="220">
        <v>0</v>
      </c>
      <c r="AV130" s="222">
        <f t="shared" si="38"/>
        <v>0</v>
      </c>
    </row>
    <row r="131" spans="1:48" ht="18.75" customHeight="1" x14ac:dyDescent="0.3">
      <c r="A131" s="30">
        <v>11</v>
      </c>
      <c r="B131" s="24" t="s">
        <v>638</v>
      </c>
      <c r="C131" s="18" t="s">
        <v>69</v>
      </c>
      <c r="D131" s="19" t="s">
        <v>70</v>
      </c>
      <c r="E131" s="20" t="s">
        <v>119</v>
      </c>
      <c r="F131" s="6">
        <v>1</v>
      </c>
      <c r="G131" s="45"/>
      <c r="H131" s="6"/>
      <c r="I131" s="45"/>
      <c r="J131" s="6"/>
      <c r="K131" s="6"/>
      <c r="L131" s="45"/>
      <c r="M131" s="6"/>
      <c r="N131" s="6"/>
      <c r="O131" s="6"/>
      <c r="P131" s="45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45"/>
      <c r="AB131" s="6"/>
      <c r="AC131" s="6"/>
      <c r="AD131" s="6"/>
      <c r="AE131" s="7">
        <v>1.4040000000000001</v>
      </c>
      <c r="AF131" s="7"/>
      <c r="AG131" s="16">
        <f t="shared" ref="AG131:AG132" si="72">ROUND((AE131*1.2*1.5+4)*10,0)/10</f>
        <v>6.5</v>
      </c>
      <c r="AH131" s="17">
        <f t="shared" ref="AH131:AH132" si="73">ROUND((AE131*1.2*1.5+10)*10,0)/10</f>
        <v>12.5</v>
      </c>
      <c r="AI131" s="16">
        <f t="shared" ref="AI131:AI132" si="74">ROUND(AH131/0.7*1.22,0)</f>
        <v>22</v>
      </c>
      <c r="AJ131" s="5" t="s">
        <v>138</v>
      </c>
      <c r="AK131" s="13"/>
      <c r="AL131" s="95"/>
      <c r="AM131" s="131">
        <v>5</v>
      </c>
      <c r="AN131" s="104">
        <v>5</v>
      </c>
      <c r="AO131" s="218">
        <v>0</v>
      </c>
      <c r="AP131" s="144"/>
      <c r="AQ131" s="145"/>
      <c r="AR131" s="219"/>
      <c r="AS131" s="97"/>
      <c r="AT131" s="165"/>
      <c r="AU131" s="220"/>
      <c r="AV131" s="222">
        <f t="shared" si="38"/>
        <v>0</v>
      </c>
    </row>
    <row r="132" spans="1:48" ht="18.75" customHeight="1" x14ac:dyDescent="0.3">
      <c r="A132" s="29">
        <v>27</v>
      </c>
      <c r="B132" s="24" t="s">
        <v>746</v>
      </c>
      <c r="C132" s="18" t="s">
        <v>69</v>
      </c>
      <c r="D132" s="19" t="s">
        <v>70</v>
      </c>
      <c r="E132" s="20" t="s">
        <v>745</v>
      </c>
      <c r="F132" s="6"/>
      <c r="G132" s="45"/>
      <c r="H132" s="6"/>
      <c r="I132" s="45">
        <v>1</v>
      </c>
      <c r="J132" s="6"/>
      <c r="K132" s="6"/>
      <c r="L132" s="45">
        <v>1</v>
      </c>
      <c r="M132" s="6"/>
      <c r="N132" s="6"/>
      <c r="O132" s="6">
        <v>1</v>
      </c>
      <c r="P132" s="45">
        <v>1</v>
      </c>
      <c r="Q132" s="6"/>
      <c r="R132" s="6"/>
      <c r="S132" s="6"/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/>
      <c r="Z132" s="6"/>
      <c r="AA132" s="45">
        <v>1</v>
      </c>
      <c r="AB132" s="6"/>
      <c r="AC132" s="6"/>
      <c r="AD132" s="6">
        <v>1</v>
      </c>
      <c r="AE132" s="7">
        <v>0.69</v>
      </c>
      <c r="AF132" s="180">
        <v>4.8360000000000003</v>
      </c>
      <c r="AG132" s="16">
        <f t="shared" si="72"/>
        <v>5.2</v>
      </c>
      <c r="AH132" s="17">
        <f t="shared" si="73"/>
        <v>11.2</v>
      </c>
      <c r="AI132" s="16">
        <f t="shared" si="74"/>
        <v>20</v>
      </c>
      <c r="AJ132" s="5" t="s">
        <v>138</v>
      </c>
      <c r="AK132" s="13"/>
      <c r="AL132" s="95"/>
      <c r="AM132" s="97"/>
      <c r="AN132" s="104"/>
      <c r="AO132" s="218"/>
      <c r="AP132" s="159">
        <v>20</v>
      </c>
      <c r="AQ132" s="145">
        <v>20</v>
      </c>
      <c r="AR132" s="219">
        <v>0</v>
      </c>
      <c r="AS132" s="131">
        <v>5</v>
      </c>
      <c r="AT132" s="165">
        <v>5</v>
      </c>
      <c r="AU132" s="220">
        <v>0</v>
      </c>
      <c r="AV132" s="222">
        <f t="shared" si="38"/>
        <v>0</v>
      </c>
    </row>
    <row r="133" spans="1:48" ht="18.75" customHeight="1" x14ac:dyDescent="0.3">
      <c r="A133" s="30">
        <v>40</v>
      </c>
      <c r="B133" s="26" t="s">
        <v>58</v>
      </c>
      <c r="C133" s="18" t="s">
        <v>69</v>
      </c>
      <c r="D133" s="19" t="s">
        <v>70</v>
      </c>
      <c r="E133" s="20" t="s">
        <v>131</v>
      </c>
      <c r="F133" s="6"/>
      <c r="G133" s="45">
        <v>1</v>
      </c>
      <c r="H133" s="6">
        <v>1</v>
      </c>
      <c r="I133" s="45">
        <v>1</v>
      </c>
      <c r="J133" s="6">
        <v>1</v>
      </c>
      <c r="K133" s="6">
        <v>1</v>
      </c>
      <c r="L133" s="45">
        <v>1</v>
      </c>
      <c r="M133" s="6">
        <v>1</v>
      </c>
      <c r="N133" s="6">
        <v>1</v>
      </c>
      <c r="O133" s="6">
        <v>1</v>
      </c>
      <c r="P133" s="45">
        <v>1</v>
      </c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>
        <v>1</v>
      </c>
      <c r="W133" s="6"/>
      <c r="X133" s="6">
        <v>1</v>
      </c>
      <c r="Y133" s="6">
        <v>1</v>
      </c>
      <c r="Z133" s="6">
        <v>1</v>
      </c>
      <c r="AA133" s="45">
        <v>1</v>
      </c>
      <c r="AB133" s="6">
        <v>1</v>
      </c>
      <c r="AC133" s="6">
        <v>1</v>
      </c>
      <c r="AD133" s="6">
        <v>1</v>
      </c>
      <c r="AE133" s="7">
        <v>0.67</v>
      </c>
      <c r="AF133" s="180">
        <v>1.8979999999999999</v>
      </c>
      <c r="AG133" s="16">
        <f t="shared" si="42"/>
        <v>5.2</v>
      </c>
      <c r="AH133" s="17">
        <f t="shared" si="43"/>
        <v>11.2</v>
      </c>
      <c r="AI133" s="16">
        <f t="shared" si="44"/>
        <v>20</v>
      </c>
      <c r="AJ133" s="5" t="s">
        <v>138</v>
      </c>
      <c r="AK133" s="13"/>
      <c r="AL133" s="95"/>
      <c r="AM133" s="131">
        <v>5</v>
      </c>
      <c r="AN133" s="104">
        <v>5</v>
      </c>
      <c r="AO133" s="218">
        <v>0</v>
      </c>
      <c r="AP133" s="159">
        <v>40</v>
      </c>
      <c r="AQ133" s="145">
        <v>40</v>
      </c>
      <c r="AR133" s="219">
        <v>0</v>
      </c>
      <c r="AS133" s="131">
        <v>10</v>
      </c>
      <c r="AT133" s="165">
        <v>10</v>
      </c>
      <c r="AU133" s="220">
        <v>0</v>
      </c>
      <c r="AV133" s="222">
        <f t="shared" si="38"/>
        <v>0</v>
      </c>
    </row>
    <row r="134" spans="1:48" ht="18.75" customHeight="1" x14ac:dyDescent="0.3">
      <c r="A134" s="30">
        <v>12</v>
      </c>
      <c r="B134" s="26" t="s">
        <v>639</v>
      </c>
      <c r="C134" s="18" t="s">
        <v>69</v>
      </c>
      <c r="D134" s="19" t="s">
        <v>70</v>
      </c>
      <c r="E134" s="20" t="s">
        <v>131</v>
      </c>
      <c r="F134" s="6">
        <v>1</v>
      </c>
      <c r="G134" s="45"/>
      <c r="H134" s="6"/>
      <c r="I134" s="45"/>
      <c r="J134" s="6"/>
      <c r="K134" s="6"/>
      <c r="L134" s="45"/>
      <c r="M134" s="6"/>
      <c r="N134" s="6"/>
      <c r="O134" s="6"/>
      <c r="P134" s="45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45"/>
      <c r="AB134" s="6"/>
      <c r="AC134" s="6"/>
      <c r="AD134" s="6"/>
      <c r="AE134" s="7">
        <v>0.68</v>
      </c>
      <c r="AF134" s="7"/>
      <c r="AG134" s="16">
        <f t="shared" si="42"/>
        <v>5.2</v>
      </c>
      <c r="AH134" s="17">
        <f t="shared" si="43"/>
        <v>11.2</v>
      </c>
      <c r="AI134" s="16">
        <f t="shared" si="44"/>
        <v>20</v>
      </c>
      <c r="AJ134" s="5" t="s">
        <v>138</v>
      </c>
      <c r="AK134" s="13"/>
      <c r="AL134" s="95"/>
      <c r="AM134" s="131">
        <v>5</v>
      </c>
      <c r="AN134" s="104">
        <v>5</v>
      </c>
      <c r="AO134" s="218">
        <v>0</v>
      </c>
      <c r="AP134" s="144"/>
      <c r="AQ134" s="145"/>
      <c r="AR134" s="219"/>
      <c r="AS134" s="97"/>
      <c r="AT134" s="165"/>
      <c r="AU134" s="220"/>
      <c r="AV134" s="222">
        <f t="shared" ref="AV134:AV162" si="75">AU134+AR134+AO134</f>
        <v>0</v>
      </c>
    </row>
    <row r="135" spans="1:48" ht="18.75" customHeight="1" x14ac:dyDescent="0.3">
      <c r="A135" s="147">
        <v>21</v>
      </c>
      <c r="B135" s="148" t="s">
        <v>904</v>
      </c>
      <c r="C135" s="18" t="s">
        <v>905</v>
      </c>
      <c r="D135" s="19" t="s">
        <v>906</v>
      </c>
      <c r="E135" s="20" t="s">
        <v>907</v>
      </c>
      <c r="F135" s="6"/>
      <c r="G135" s="45"/>
      <c r="H135" s="6"/>
      <c r="I135" s="45"/>
      <c r="J135" s="6"/>
      <c r="K135" s="6"/>
      <c r="L135" s="45"/>
      <c r="M135" s="6"/>
      <c r="N135" s="6"/>
      <c r="O135" s="6">
        <v>4</v>
      </c>
      <c r="P135" s="45"/>
      <c r="Q135" s="6"/>
      <c r="R135" s="6"/>
      <c r="S135" s="6"/>
      <c r="T135" s="6"/>
      <c r="U135" s="6"/>
      <c r="V135" s="6"/>
      <c r="W135" s="6"/>
      <c r="X135" s="6">
        <v>4</v>
      </c>
      <c r="Y135" s="6"/>
      <c r="Z135" s="6"/>
      <c r="AA135" s="45"/>
      <c r="AB135" s="6"/>
      <c r="AC135" s="6"/>
      <c r="AD135" s="6"/>
      <c r="AE135" s="7">
        <v>0.01</v>
      </c>
      <c r="AF135" s="180">
        <v>0.377</v>
      </c>
      <c r="AG135" s="16">
        <f t="shared" si="42"/>
        <v>4</v>
      </c>
      <c r="AH135" s="17">
        <f t="shared" si="43"/>
        <v>10</v>
      </c>
      <c r="AI135" s="16">
        <f t="shared" si="44"/>
        <v>17</v>
      </c>
      <c r="AJ135" s="5" t="s">
        <v>137</v>
      </c>
      <c r="AK135" s="13"/>
      <c r="AL135" s="95"/>
      <c r="AM135" s="139"/>
      <c r="AN135" s="104"/>
      <c r="AO135" s="218"/>
      <c r="AP135" s="144"/>
      <c r="AQ135" s="145"/>
      <c r="AR135" s="219"/>
      <c r="AS135" s="131">
        <v>20</v>
      </c>
      <c r="AT135" s="165">
        <v>20</v>
      </c>
      <c r="AU135" s="220">
        <v>0</v>
      </c>
      <c r="AV135" s="222">
        <f t="shared" si="75"/>
        <v>0</v>
      </c>
    </row>
    <row r="136" spans="1:48" ht="18.75" customHeight="1" x14ac:dyDescent="0.3">
      <c r="A136" s="31">
        <v>21</v>
      </c>
      <c r="B136" s="24" t="s">
        <v>39</v>
      </c>
      <c r="C136" s="18" t="s">
        <v>83</v>
      </c>
      <c r="D136" s="19" t="s">
        <v>84</v>
      </c>
      <c r="E136" s="20"/>
      <c r="F136" s="6">
        <v>1</v>
      </c>
      <c r="G136" s="45"/>
      <c r="H136" s="6">
        <v>1</v>
      </c>
      <c r="I136" s="45"/>
      <c r="J136" s="6"/>
      <c r="K136" s="6">
        <v>1</v>
      </c>
      <c r="L136" s="45"/>
      <c r="M136" s="6"/>
      <c r="N136" s="6">
        <v>1</v>
      </c>
      <c r="O136" s="6"/>
      <c r="P136" s="45"/>
      <c r="Q136" s="6"/>
      <c r="R136" s="6">
        <v>1</v>
      </c>
      <c r="S136" s="6">
        <v>1</v>
      </c>
      <c r="T136" s="6"/>
      <c r="U136" s="6"/>
      <c r="V136" s="6"/>
      <c r="W136" s="6"/>
      <c r="X136" s="6"/>
      <c r="Y136" s="6"/>
      <c r="Z136" s="6">
        <v>1</v>
      </c>
      <c r="AA136" s="45"/>
      <c r="AB136" s="6"/>
      <c r="AC136" s="6">
        <v>1</v>
      </c>
      <c r="AD136" s="6"/>
      <c r="AE136" s="7">
        <v>0.56000000000000005</v>
      </c>
      <c r="AF136" s="7"/>
      <c r="AG136" s="16">
        <f t="shared" si="42"/>
        <v>5</v>
      </c>
      <c r="AH136" s="17">
        <f t="shared" si="43"/>
        <v>11</v>
      </c>
      <c r="AI136" s="16">
        <f t="shared" si="44"/>
        <v>19</v>
      </c>
      <c r="AJ136" s="5"/>
      <c r="AK136" s="13"/>
      <c r="AL136" s="95"/>
      <c r="AM136" s="97"/>
      <c r="AN136" s="104"/>
      <c r="AO136" s="218"/>
      <c r="AP136" s="144"/>
      <c r="AQ136" s="145"/>
      <c r="AR136" s="219"/>
      <c r="AS136" s="97"/>
      <c r="AT136" s="165"/>
      <c r="AU136" s="220"/>
      <c r="AV136" s="222">
        <f t="shared" si="75"/>
        <v>0</v>
      </c>
    </row>
    <row r="137" spans="1:48" ht="18.75" customHeight="1" x14ac:dyDescent="0.3">
      <c r="A137" s="31">
        <v>24</v>
      </c>
      <c r="B137" s="26" t="s">
        <v>42</v>
      </c>
      <c r="C137" s="18" t="s">
        <v>89</v>
      </c>
      <c r="D137" s="19" t="s">
        <v>90</v>
      </c>
      <c r="E137" s="20"/>
      <c r="F137" s="6">
        <v>1</v>
      </c>
      <c r="G137" s="45"/>
      <c r="H137" s="6">
        <v>1</v>
      </c>
      <c r="I137" s="45"/>
      <c r="J137" s="6"/>
      <c r="K137" s="6">
        <v>1</v>
      </c>
      <c r="L137" s="45"/>
      <c r="M137" s="6"/>
      <c r="N137" s="6">
        <v>1</v>
      </c>
      <c r="O137" s="6"/>
      <c r="P137" s="45"/>
      <c r="Q137" s="6"/>
      <c r="R137" s="6">
        <v>1</v>
      </c>
      <c r="S137" s="6">
        <v>1</v>
      </c>
      <c r="T137" s="6"/>
      <c r="U137" s="6"/>
      <c r="V137" s="6"/>
      <c r="W137" s="6"/>
      <c r="X137" s="6"/>
      <c r="Y137" s="6"/>
      <c r="Z137" s="6">
        <v>1</v>
      </c>
      <c r="AA137" s="45"/>
      <c r="AB137" s="6"/>
      <c r="AC137" s="6">
        <v>1</v>
      </c>
      <c r="AD137" s="6"/>
      <c r="AE137" s="7">
        <v>2.44</v>
      </c>
      <c r="AF137" s="7"/>
      <c r="AG137" s="16">
        <f t="shared" si="42"/>
        <v>8.4</v>
      </c>
      <c r="AH137" s="17">
        <f t="shared" si="43"/>
        <v>14.4</v>
      </c>
      <c r="AI137" s="16">
        <f t="shared" si="44"/>
        <v>25</v>
      </c>
      <c r="AJ137" s="5"/>
      <c r="AK137" s="13"/>
      <c r="AL137" s="95"/>
      <c r="AM137" s="97"/>
      <c r="AN137" s="104"/>
      <c r="AO137" s="218"/>
      <c r="AP137" s="144"/>
      <c r="AQ137" s="145"/>
      <c r="AR137" s="219"/>
      <c r="AS137" s="97"/>
      <c r="AT137" s="165"/>
      <c r="AU137" s="220"/>
      <c r="AV137" s="222">
        <f t="shared" si="75"/>
        <v>0</v>
      </c>
    </row>
    <row r="138" spans="1:48" ht="18.75" customHeight="1" x14ac:dyDescent="0.3">
      <c r="A138" s="31">
        <v>19</v>
      </c>
      <c r="B138" s="26" t="s">
        <v>147</v>
      </c>
      <c r="C138" s="18" t="s">
        <v>89</v>
      </c>
      <c r="D138" s="19" t="s">
        <v>90</v>
      </c>
      <c r="E138" s="20"/>
      <c r="F138" s="6"/>
      <c r="G138" s="45">
        <v>1</v>
      </c>
      <c r="H138" s="6"/>
      <c r="I138" s="45"/>
      <c r="J138" s="6">
        <v>1</v>
      </c>
      <c r="K138" s="6"/>
      <c r="L138" s="45"/>
      <c r="M138" s="6"/>
      <c r="N138" s="6"/>
      <c r="O138" s="6"/>
      <c r="P138" s="45"/>
      <c r="Q138" s="6"/>
      <c r="R138" s="6"/>
      <c r="S138" s="6"/>
      <c r="T138" s="6"/>
      <c r="U138" s="6"/>
      <c r="V138" s="6"/>
      <c r="W138" s="6"/>
      <c r="X138" s="6"/>
      <c r="Y138" s="6">
        <v>1</v>
      </c>
      <c r="Z138" s="6"/>
      <c r="AA138" s="45"/>
      <c r="AB138" s="6">
        <v>1</v>
      </c>
      <c r="AC138" s="6"/>
      <c r="AD138" s="6"/>
      <c r="AE138" s="7">
        <v>2.6545854733333343</v>
      </c>
      <c r="AF138" s="7"/>
      <c r="AG138" s="16">
        <f t="shared" si="42"/>
        <v>8.8000000000000007</v>
      </c>
      <c r="AH138" s="17">
        <f t="shared" si="43"/>
        <v>14.8</v>
      </c>
      <c r="AI138" s="16">
        <f t="shared" si="44"/>
        <v>26</v>
      </c>
      <c r="AJ138" s="5"/>
      <c r="AK138" s="13"/>
      <c r="AL138" s="95"/>
      <c r="AM138" s="97"/>
      <c r="AN138" s="104"/>
      <c r="AO138" s="218"/>
      <c r="AP138" s="144"/>
      <c r="AQ138" s="145"/>
      <c r="AR138" s="219"/>
      <c r="AS138" s="97"/>
      <c r="AT138" s="165"/>
      <c r="AU138" s="220"/>
      <c r="AV138" s="222">
        <f t="shared" si="75"/>
        <v>0</v>
      </c>
    </row>
    <row r="139" spans="1:48" ht="18.75" customHeight="1" x14ac:dyDescent="0.3">
      <c r="A139" s="31">
        <v>29</v>
      </c>
      <c r="B139" s="26" t="s">
        <v>154</v>
      </c>
      <c r="C139" s="18" t="s">
        <v>83</v>
      </c>
      <c r="D139" s="19" t="s">
        <v>84</v>
      </c>
      <c r="E139" s="20"/>
      <c r="F139" s="6"/>
      <c r="G139" s="45">
        <v>1</v>
      </c>
      <c r="H139" s="6"/>
      <c r="I139" s="45"/>
      <c r="J139" s="6">
        <v>1</v>
      </c>
      <c r="K139" s="6"/>
      <c r="L139" s="45"/>
      <c r="M139" s="6">
        <v>1</v>
      </c>
      <c r="N139" s="6"/>
      <c r="O139" s="6"/>
      <c r="P139" s="45"/>
      <c r="Q139" s="6">
        <v>1</v>
      </c>
      <c r="R139" s="6"/>
      <c r="S139" s="6"/>
      <c r="T139" s="6"/>
      <c r="U139" s="6"/>
      <c r="V139" s="6"/>
      <c r="W139" s="6"/>
      <c r="X139" s="6"/>
      <c r="Y139" s="6">
        <v>1</v>
      </c>
      <c r="Z139" s="6"/>
      <c r="AA139" s="45"/>
      <c r="AB139" s="6">
        <v>1</v>
      </c>
      <c r="AC139" s="6"/>
      <c r="AD139" s="6"/>
      <c r="AE139" s="7">
        <v>0.55000000000000004</v>
      </c>
      <c r="AF139" s="7"/>
      <c r="AG139" s="16">
        <f t="shared" si="42"/>
        <v>5</v>
      </c>
      <c r="AH139" s="17">
        <f t="shared" si="43"/>
        <v>11</v>
      </c>
      <c r="AI139" s="16">
        <f t="shared" si="44"/>
        <v>19</v>
      </c>
      <c r="AJ139" s="5"/>
      <c r="AK139" s="13"/>
      <c r="AL139" s="95"/>
      <c r="AM139" s="97"/>
      <c r="AN139" s="104"/>
      <c r="AO139" s="218"/>
      <c r="AP139" s="144"/>
      <c r="AQ139" s="145"/>
      <c r="AR139" s="219"/>
      <c r="AS139" s="97"/>
      <c r="AT139" s="165"/>
      <c r="AU139" s="220"/>
      <c r="AV139" s="222">
        <f t="shared" si="75"/>
        <v>0</v>
      </c>
    </row>
    <row r="140" spans="1:48" ht="18.75" customHeight="1" x14ac:dyDescent="0.3">
      <c r="A140" s="30" t="s">
        <v>887</v>
      </c>
      <c r="B140" s="26" t="s">
        <v>1060</v>
      </c>
      <c r="C140" s="18" t="s">
        <v>59</v>
      </c>
      <c r="D140" s="19" t="s">
        <v>60</v>
      </c>
      <c r="E140" s="20" t="s">
        <v>728</v>
      </c>
      <c r="F140" s="6"/>
      <c r="G140" s="45"/>
      <c r="H140" s="6"/>
      <c r="I140" s="45"/>
      <c r="J140" s="6"/>
      <c r="K140" s="6"/>
      <c r="L140" s="45"/>
      <c r="M140" s="6"/>
      <c r="N140" s="6"/>
      <c r="O140" s="6"/>
      <c r="P140" s="45"/>
      <c r="Q140" s="6"/>
      <c r="R140" s="6"/>
      <c r="S140" s="6"/>
      <c r="T140" s="6"/>
      <c r="U140" s="6"/>
      <c r="V140" s="6"/>
      <c r="W140" s="6"/>
      <c r="X140" s="6">
        <v>1</v>
      </c>
      <c r="Y140" s="6"/>
      <c r="Z140" s="6"/>
      <c r="AA140" s="45"/>
      <c r="AB140" s="6"/>
      <c r="AC140" s="6"/>
      <c r="AD140" s="6"/>
      <c r="AE140" s="7">
        <v>0.40300000000000002</v>
      </c>
      <c r="AF140" s="7"/>
      <c r="AG140" s="16">
        <f t="shared" ref="AG140" si="76">ROUND((AE140*1.2*1.5+4)*10,0)/10</f>
        <v>4.7</v>
      </c>
      <c r="AH140" s="17">
        <f t="shared" ref="AH140" si="77">ROUND((AE140*1.2*1.5+10)*10,0)/10</f>
        <v>10.7</v>
      </c>
      <c r="AI140" s="16">
        <f t="shared" ref="AI140" si="78">ROUND(AH140/0.7*1.22,0)</f>
        <v>19</v>
      </c>
      <c r="AJ140" s="5" t="s">
        <v>134</v>
      </c>
      <c r="AK140" s="13"/>
      <c r="AL140" s="95"/>
      <c r="AM140" s="131"/>
      <c r="AN140" s="104"/>
      <c r="AO140" s="218"/>
      <c r="AP140" s="144"/>
      <c r="AQ140" s="145"/>
      <c r="AR140" s="219"/>
      <c r="AS140" s="97"/>
      <c r="AT140" s="165"/>
      <c r="AU140" s="220"/>
      <c r="AV140" s="222">
        <f t="shared" si="75"/>
        <v>0</v>
      </c>
    </row>
    <row r="141" spans="1:48" ht="18.75" customHeight="1" x14ac:dyDescent="0.3">
      <c r="A141" s="30" t="s">
        <v>888</v>
      </c>
      <c r="B141" s="26" t="s">
        <v>1061</v>
      </c>
      <c r="C141" s="18" t="s">
        <v>59</v>
      </c>
      <c r="D141" s="19" t="s">
        <v>60</v>
      </c>
      <c r="E141" s="20" t="s">
        <v>728</v>
      </c>
      <c r="F141" s="6"/>
      <c r="G141" s="45"/>
      <c r="H141" s="6"/>
      <c r="I141" s="45"/>
      <c r="J141" s="6"/>
      <c r="K141" s="6"/>
      <c r="L141" s="45"/>
      <c r="M141" s="6"/>
      <c r="N141" s="6"/>
      <c r="O141" s="6"/>
      <c r="P141" s="45"/>
      <c r="Q141" s="6"/>
      <c r="R141" s="6"/>
      <c r="S141" s="6"/>
      <c r="T141" s="6"/>
      <c r="U141" s="6"/>
      <c r="V141" s="6"/>
      <c r="W141" s="6"/>
      <c r="X141" s="6">
        <v>1</v>
      </c>
      <c r="Y141" s="6"/>
      <c r="Z141" s="6"/>
      <c r="AA141" s="45"/>
      <c r="AB141" s="6"/>
      <c r="AC141" s="6"/>
      <c r="AD141" s="6"/>
      <c r="AE141" s="7">
        <v>0.42900000000000005</v>
      </c>
      <c r="AF141" s="7"/>
      <c r="AG141" s="16">
        <f t="shared" ref="AG141:AG149" si="79">ROUND((AE141*1.2*1.5+4)*10,0)/10</f>
        <v>4.8</v>
      </c>
      <c r="AH141" s="17">
        <f t="shared" ref="AH141:AH149" si="80">ROUND((AE141*1.2*1.5+10)*10,0)/10</f>
        <v>10.8</v>
      </c>
      <c r="AI141" s="16">
        <f t="shared" ref="AI141:AI148" si="81">ROUND(AH141/0.7*1.22,0)</f>
        <v>19</v>
      </c>
      <c r="AJ141" s="5" t="s">
        <v>134</v>
      </c>
      <c r="AK141" s="13"/>
      <c r="AL141" s="95"/>
      <c r="AM141" s="131"/>
      <c r="AN141" s="104"/>
      <c r="AO141" s="218"/>
      <c r="AP141" s="144"/>
      <c r="AQ141" s="145"/>
      <c r="AR141" s="219"/>
      <c r="AS141" s="97"/>
      <c r="AT141" s="165"/>
      <c r="AU141" s="220"/>
      <c r="AV141" s="222">
        <f t="shared" si="75"/>
        <v>0</v>
      </c>
    </row>
    <row r="142" spans="1:48" ht="18.75" customHeight="1" x14ac:dyDescent="0.3">
      <c r="A142" s="30" t="s">
        <v>252</v>
      </c>
      <c r="B142" s="26" t="s">
        <v>1062</v>
      </c>
      <c r="C142" s="18" t="s">
        <v>71</v>
      </c>
      <c r="D142" s="19" t="s">
        <v>72</v>
      </c>
      <c r="E142" s="20" t="s">
        <v>102</v>
      </c>
      <c r="F142" s="6"/>
      <c r="G142" s="45"/>
      <c r="H142" s="6"/>
      <c r="I142" s="45"/>
      <c r="J142" s="6"/>
      <c r="K142" s="6"/>
      <c r="L142" s="45"/>
      <c r="M142" s="6"/>
      <c r="N142" s="6"/>
      <c r="O142" s="6"/>
      <c r="P142" s="45"/>
      <c r="Q142" s="6"/>
      <c r="R142" s="6"/>
      <c r="S142" s="6"/>
      <c r="T142" s="6"/>
      <c r="U142" s="6"/>
      <c r="V142" s="6"/>
      <c r="W142" s="6"/>
      <c r="X142" s="6">
        <v>2</v>
      </c>
      <c r="Y142" s="6"/>
      <c r="Z142" s="6"/>
      <c r="AA142" s="45"/>
      <c r="AB142" s="6"/>
      <c r="AC142" s="6"/>
      <c r="AD142" s="6"/>
      <c r="AE142" s="7">
        <v>2.2880000000000003</v>
      </c>
      <c r="AF142" s="7"/>
      <c r="AG142" s="16">
        <f t="shared" si="79"/>
        <v>8.1</v>
      </c>
      <c r="AH142" s="17">
        <f t="shared" si="80"/>
        <v>14.1</v>
      </c>
      <c r="AI142" s="16">
        <f t="shared" si="81"/>
        <v>25</v>
      </c>
      <c r="AJ142" s="5" t="s">
        <v>135</v>
      </c>
      <c r="AK142" s="13"/>
      <c r="AL142" s="95"/>
      <c r="AM142" s="131"/>
      <c r="AN142" s="104"/>
      <c r="AO142" s="218"/>
      <c r="AP142" s="144"/>
      <c r="AQ142" s="145"/>
      <c r="AR142" s="219"/>
      <c r="AS142" s="97"/>
      <c r="AT142" s="165"/>
      <c r="AU142" s="220"/>
      <c r="AV142" s="222">
        <f t="shared" si="75"/>
        <v>0</v>
      </c>
    </row>
    <row r="143" spans="1:48" ht="18.75" customHeight="1" x14ac:dyDescent="0.3">
      <c r="A143" s="30" t="s">
        <v>218</v>
      </c>
      <c r="B143" s="26" t="s">
        <v>1063</v>
      </c>
      <c r="C143" s="18" t="s">
        <v>71</v>
      </c>
      <c r="D143" s="19" t="s">
        <v>72</v>
      </c>
      <c r="E143" s="20" t="s">
        <v>102</v>
      </c>
      <c r="F143" s="6"/>
      <c r="G143" s="45"/>
      <c r="H143" s="6"/>
      <c r="I143" s="45"/>
      <c r="J143" s="6"/>
      <c r="K143" s="6"/>
      <c r="L143" s="45"/>
      <c r="M143" s="6"/>
      <c r="N143" s="6"/>
      <c r="O143" s="6"/>
      <c r="P143" s="45"/>
      <c r="Q143" s="6"/>
      <c r="R143" s="6"/>
      <c r="S143" s="6"/>
      <c r="T143" s="6"/>
      <c r="U143" s="6"/>
      <c r="V143" s="6"/>
      <c r="W143" s="6">
        <v>1</v>
      </c>
      <c r="X143" s="6">
        <v>1</v>
      </c>
      <c r="Y143" s="6"/>
      <c r="Z143" s="6"/>
      <c r="AA143" s="45"/>
      <c r="AB143" s="6"/>
      <c r="AC143" s="6"/>
      <c r="AD143" s="6"/>
      <c r="AE143" s="7">
        <v>5.7589999999999995</v>
      </c>
      <c r="AF143" s="7">
        <v>1.0900000000000001</v>
      </c>
      <c r="AG143" s="16">
        <f t="shared" si="79"/>
        <v>14.4</v>
      </c>
      <c r="AH143" s="17">
        <f t="shared" si="80"/>
        <v>20.399999999999999</v>
      </c>
      <c r="AI143" s="16">
        <f t="shared" si="81"/>
        <v>36</v>
      </c>
      <c r="AJ143" s="5" t="s">
        <v>135</v>
      </c>
      <c r="AK143" s="13"/>
      <c r="AL143" s="95"/>
      <c r="AM143" s="131"/>
      <c r="AN143" s="104"/>
      <c r="AO143" s="218"/>
      <c r="AP143" s="144"/>
      <c r="AQ143" s="145"/>
      <c r="AR143" s="219"/>
      <c r="AS143" s="97"/>
      <c r="AT143" s="165"/>
      <c r="AU143" s="220"/>
      <c r="AV143" s="222">
        <f t="shared" si="75"/>
        <v>0</v>
      </c>
    </row>
    <row r="144" spans="1:48" ht="18.75" customHeight="1" x14ac:dyDescent="0.3">
      <c r="A144" s="30" t="s">
        <v>1064</v>
      </c>
      <c r="B144" s="26" t="s">
        <v>1065</v>
      </c>
      <c r="C144" s="18" t="s">
        <v>93</v>
      </c>
      <c r="D144" s="19" t="s">
        <v>94</v>
      </c>
      <c r="E144" s="20" t="s">
        <v>121</v>
      </c>
      <c r="F144" s="6"/>
      <c r="G144" s="45"/>
      <c r="H144" s="6">
        <v>1</v>
      </c>
      <c r="I144" s="45">
        <v>1</v>
      </c>
      <c r="J144" s="6"/>
      <c r="K144" s="6"/>
      <c r="L144" s="45"/>
      <c r="M144" s="6"/>
      <c r="N144" s="6"/>
      <c r="O144" s="6"/>
      <c r="P144" s="45"/>
      <c r="Q144" s="6"/>
      <c r="R144" s="6"/>
      <c r="S144" s="6"/>
      <c r="T144" s="6"/>
      <c r="U144" s="6"/>
      <c r="V144" s="6"/>
      <c r="W144" s="6">
        <v>1</v>
      </c>
      <c r="X144" s="6">
        <v>1</v>
      </c>
      <c r="Y144" s="6"/>
      <c r="Z144" s="6"/>
      <c r="AA144" s="45"/>
      <c r="AB144" s="6"/>
      <c r="AC144" s="6"/>
      <c r="AD144" s="6"/>
      <c r="AE144" s="7">
        <v>0.76700000000000002</v>
      </c>
      <c r="AF144" s="7">
        <v>0.38</v>
      </c>
      <c r="AG144" s="16">
        <f t="shared" si="79"/>
        <v>5.4</v>
      </c>
      <c r="AH144" s="17">
        <f t="shared" si="80"/>
        <v>11.4</v>
      </c>
      <c r="AI144" s="16">
        <f t="shared" si="81"/>
        <v>20</v>
      </c>
      <c r="AJ144" s="5" t="s">
        <v>135</v>
      </c>
      <c r="AK144" s="13"/>
      <c r="AL144" s="95"/>
      <c r="AM144" s="131"/>
      <c r="AN144" s="104"/>
      <c r="AO144" s="218"/>
      <c r="AP144" s="144"/>
      <c r="AQ144" s="145"/>
      <c r="AR144" s="219"/>
      <c r="AS144" s="97"/>
      <c r="AT144" s="165"/>
      <c r="AU144" s="220"/>
      <c r="AV144" s="222">
        <f t="shared" si="75"/>
        <v>0</v>
      </c>
    </row>
    <row r="145" spans="1:48" ht="18.75" customHeight="1" x14ac:dyDescent="0.3">
      <c r="A145" s="30" t="s">
        <v>1066</v>
      </c>
      <c r="B145" s="26" t="s">
        <v>1067</v>
      </c>
      <c r="C145" s="18" t="s">
        <v>91</v>
      </c>
      <c r="D145" s="19" t="s">
        <v>92</v>
      </c>
      <c r="E145" s="20" t="s">
        <v>120</v>
      </c>
      <c r="F145" s="6"/>
      <c r="G145" s="45"/>
      <c r="H145" s="6"/>
      <c r="I145" s="45">
        <v>1</v>
      </c>
      <c r="J145" s="6"/>
      <c r="K145" s="6"/>
      <c r="L145" s="45"/>
      <c r="M145" s="6"/>
      <c r="N145" s="6"/>
      <c r="O145" s="6"/>
      <c r="P145" s="45"/>
      <c r="Q145" s="6"/>
      <c r="R145" s="6"/>
      <c r="S145" s="6"/>
      <c r="T145" s="6"/>
      <c r="U145" s="6"/>
      <c r="V145" s="6"/>
      <c r="W145" s="6"/>
      <c r="X145" s="6">
        <v>1</v>
      </c>
      <c r="Y145" s="6"/>
      <c r="Z145" s="6"/>
      <c r="AA145" s="45"/>
      <c r="AB145" s="6"/>
      <c r="AC145" s="6"/>
      <c r="AD145" s="6"/>
      <c r="AE145" s="7">
        <v>0.45499999999999996</v>
      </c>
      <c r="AF145" s="7"/>
      <c r="AG145" s="16">
        <f t="shared" si="79"/>
        <v>4.8</v>
      </c>
      <c r="AH145" s="17">
        <f t="shared" si="80"/>
        <v>10.8</v>
      </c>
      <c r="AI145" s="16">
        <f t="shared" si="81"/>
        <v>19</v>
      </c>
      <c r="AJ145" s="5" t="s">
        <v>135</v>
      </c>
      <c r="AK145" s="13"/>
      <c r="AL145" s="95"/>
      <c r="AM145" s="131"/>
      <c r="AN145" s="104"/>
      <c r="AO145" s="218"/>
      <c r="AP145" s="144"/>
      <c r="AQ145" s="145"/>
      <c r="AR145" s="219"/>
      <c r="AS145" s="97"/>
      <c r="AT145" s="165"/>
      <c r="AU145" s="220"/>
      <c r="AV145" s="222">
        <f t="shared" si="75"/>
        <v>0</v>
      </c>
    </row>
    <row r="146" spans="1:48" ht="18.75" customHeight="1" x14ac:dyDescent="0.3">
      <c r="A146" s="30" t="s">
        <v>800</v>
      </c>
      <c r="B146" s="26" t="s">
        <v>1068</v>
      </c>
      <c r="C146" s="18" t="s">
        <v>1073</v>
      </c>
      <c r="D146" s="19" t="s">
        <v>1074</v>
      </c>
      <c r="E146" s="20"/>
      <c r="F146" s="6"/>
      <c r="G146" s="45"/>
      <c r="H146" s="6"/>
      <c r="I146" s="45">
        <v>4</v>
      </c>
      <c r="J146" s="6"/>
      <c r="K146" s="6"/>
      <c r="L146" s="45"/>
      <c r="M146" s="6"/>
      <c r="N146" s="6"/>
      <c r="O146" s="6"/>
      <c r="P146" s="45"/>
      <c r="Q146" s="6"/>
      <c r="R146" s="6"/>
      <c r="S146" s="6"/>
      <c r="T146" s="6"/>
      <c r="U146" s="6"/>
      <c r="V146" s="6"/>
      <c r="W146" s="6">
        <v>2</v>
      </c>
      <c r="X146" s="6">
        <v>4</v>
      </c>
      <c r="Y146" s="6"/>
      <c r="Z146" s="6"/>
      <c r="AA146" s="45"/>
      <c r="AB146" s="6"/>
      <c r="AC146" s="6"/>
      <c r="AD146" s="6"/>
      <c r="AE146" s="7">
        <v>0.23399999999999999</v>
      </c>
      <c r="AF146" s="7">
        <v>0.39</v>
      </c>
      <c r="AG146" s="16">
        <f t="shared" si="79"/>
        <v>4.4000000000000004</v>
      </c>
      <c r="AH146" s="17">
        <f t="shared" si="80"/>
        <v>10.4</v>
      </c>
      <c r="AI146" s="16">
        <f t="shared" si="81"/>
        <v>18</v>
      </c>
      <c r="AJ146" s="5">
        <v>0</v>
      </c>
      <c r="AK146" s="13"/>
      <c r="AL146" s="95"/>
      <c r="AM146" s="131"/>
      <c r="AN146" s="104"/>
      <c r="AO146" s="218"/>
      <c r="AP146" s="144"/>
      <c r="AQ146" s="145"/>
      <c r="AR146" s="219"/>
      <c r="AS146" s="97"/>
      <c r="AT146" s="165"/>
      <c r="AU146" s="220"/>
      <c r="AV146" s="222">
        <f t="shared" si="75"/>
        <v>0</v>
      </c>
    </row>
    <row r="147" spans="1:48" ht="18.75" customHeight="1" x14ac:dyDescent="0.3">
      <c r="A147" s="30" t="s">
        <v>1069</v>
      </c>
      <c r="B147" s="26" t="s">
        <v>1070</v>
      </c>
      <c r="C147" s="18" t="s">
        <v>63</v>
      </c>
      <c r="D147" s="19" t="s">
        <v>64</v>
      </c>
      <c r="E147" s="20" t="s">
        <v>735</v>
      </c>
      <c r="F147" s="6"/>
      <c r="G147" s="45"/>
      <c r="H147" s="6"/>
      <c r="I147" s="45"/>
      <c r="J147" s="6"/>
      <c r="K147" s="6"/>
      <c r="L147" s="45"/>
      <c r="M147" s="6"/>
      <c r="N147" s="6"/>
      <c r="O147" s="6"/>
      <c r="P147" s="45"/>
      <c r="Q147" s="6"/>
      <c r="R147" s="6"/>
      <c r="S147" s="6"/>
      <c r="T147" s="6"/>
      <c r="U147" s="6"/>
      <c r="V147" s="6"/>
      <c r="W147" s="6"/>
      <c r="X147" s="6">
        <v>1</v>
      </c>
      <c r="Y147" s="6"/>
      <c r="Z147" s="6"/>
      <c r="AA147" s="45"/>
      <c r="AB147" s="6"/>
      <c r="AC147" s="6"/>
      <c r="AD147" s="6"/>
      <c r="AE147" s="7">
        <v>0.68900000000000006</v>
      </c>
      <c r="AF147" s="7"/>
      <c r="AG147" s="16">
        <f t="shared" si="79"/>
        <v>5.2</v>
      </c>
      <c r="AH147" s="17">
        <f t="shared" si="80"/>
        <v>11.2</v>
      </c>
      <c r="AI147" s="16">
        <f t="shared" si="81"/>
        <v>20</v>
      </c>
      <c r="AJ147" s="5" t="s">
        <v>136</v>
      </c>
      <c r="AK147" s="13"/>
      <c r="AL147" s="95"/>
      <c r="AM147" s="131"/>
      <c r="AN147" s="104"/>
      <c r="AO147" s="218"/>
      <c r="AP147" s="144"/>
      <c r="AQ147" s="145"/>
      <c r="AR147" s="219"/>
      <c r="AS147" s="97"/>
      <c r="AT147" s="165"/>
      <c r="AU147" s="220"/>
      <c r="AV147" s="222">
        <f t="shared" si="75"/>
        <v>0</v>
      </c>
    </row>
    <row r="148" spans="1:48" ht="18.75" customHeight="1" x14ac:dyDescent="0.3">
      <c r="A148" s="30" t="s">
        <v>1071</v>
      </c>
      <c r="B148" s="26" t="s">
        <v>1072</v>
      </c>
      <c r="C148" s="18" t="s">
        <v>71</v>
      </c>
      <c r="D148" s="19" t="s">
        <v>72</v>
      </c>
      <c r="E148" s="20" t="s">
        <v>102</v>
      </c>
      <c r="F148" s="6"/>
      <c r="G148" s="45"/>
      <c r="H148" s="6"/>
      <c r="I148" s="45"/>
      <c r="J148" s="6"/>
      <c r="K148" s="6"/>
      <c r="L148" s="45"/>
      <c r="M148" s="6"/>
      <c r="N148" s="6"/>
      <c r="O148" s="6"/>
      <c r="P148" s="45"/>
      <c r="Q148" s="6"/>
      <c r="R148" s="6"/>
      <c r="S148" s="6"/>
      <c r="T148" s="6"/>
      <c r="U148" s="6"/>
      <c r="V148" s="6"/>
      <c r="W148" s="6">
        <v>1</v>
      </c>
      <c r="X148" s="6">
        <v>1</v>
      </c>
      <c r="Y148" s="6"/>
      <c r="Z148" s="6"/>
      <c r="AA148" s="45"/>
      <c r="AB148" s="6"/>
      <c r="AC148" s="6"/>
      <c r="AD148" s="6"/>
      <c r="AE148" s="7">
        <v>1.274</v>
      </c>
      <c r="AF148" s="7">
        <v>0.09</v>
      </c>
      <c r="AG148" s="16">
        <f t="shared" si="79"/>
        <v>6.3</v>
      </c>
      <c r="AH148" s="17">
        <f t="shared" si="80"/>
        <v>12.3</v>
      </c>
      <c r="AI148" s="16">
        <f t="shared" si="81"/>
        <v>21</v>
      </c>
      <c r="AJ148" s="5" t="s">
        <v>135</v>
      </c>
      <c r="AK148" s="13"/>
      <c r="AL148" s="95"/>
      <c r="AM148" s="131"/>
      <c r="AN148" s="104"/>
      <c r="AO148" s="218"/>
      <c r="AP148" s="144"/>
      <c r="AQ148" s="145"/>
      <c r="AR148" s="219"/>
      <c r="AS148" s="97"/>
      <c r="AT148" s="165"/>
      <c r="AU148" s="220"/>
      <c r="AV148" s="222">
        <f t="shared" si="75"/>
        <v>0</v>
      </c>
    </row>
    <row r="149" spans="1:48" ht="18.75" customHeight="1" x14ac:dyDescent="0.3">
      <c r="A149" s="30" t="s">
        <v>277</v>
      </c>
      <c r="B149" s="26" t="s">
        <v>1076</v>
      </c>
      <c r="C149" s="18" t="s">
        <v>59</v>
      </c>
      <c r="D149" s="19" t="s">
        <v>60</v>
      </c>
      <c r="E149" s="20" t="s">
        <v>728</v>
      </c>
      <c r="F149" s="6"/>
      <c r="G149" s="45"/>
      <c r="H149" s="6"/>
      <c r="I149" s="45"/>
      <c r="J149" s="6"/>
      <c r="K149" s="6"/>
      <c r="L149" s="45"/>
      <c r="M149" s="6"/>
      <c r="N149" s="6"/>
      <c r="O149" s="6"/>
      <c r="P149" s="45"/>
      <c r="Q149" s="6"/>
      <c r="R149" s="6"/>
      <c r="S149" s="6"/>
      <c r="T149" s="6"/>
      <c r="U149" s="6"/>
      <c r="V149" s="6"/>
      <c r="W149" s="6">
        <v>1</v>
      </c>
      <c r="X149" s="6"/>
      <c r="Y149" s="6"/>
      <c r="Z149" s="6"/>
      <c r="AA149" s="45"/>
      <c r="AB149" s="6"/>
      <c r="AC149" s="6"/>
      <c r="AD149" s="6"/>
      <c r="AE149" s="7">
        <v>0.40300000000000002</v>
      </c>
      <c r="AF149" s="7"/>
      <c r="AG149" s="16">
        <f t="shared" si="79"/>
        <v>4.7</v>
      </c>
      <c r="AH149" s="17">
        <f t="shared" si="80"/>
        <v>10.7</v>
      </c>
      <c r="AI149" s="16">
        <f t="shared" ref="AI149" si="82">ROUND(AH149/0.7*1.22,0)</f>
        <v>19</v>
      </c>
      <c r="AJ149" s="5" t="s">
        <v>134</v>
      </c>
      <c r="AK149" s="13"/>
      <c r="AL149" s="95"/>
      <c r="AM149" s="131"/>
      <c r="AN149" s="104"/>
      <c r="AO149" s="218"/>
      <c r="AP149" s="144"/>
      <c r="AQ149" s="145"/>
      <c r="AR149" s="219"/>
      <c r="AS149" s="97"/>
      <c r="AT149" s="165"/>
      <c r="AU149" s="220"/>
      <c r="AV149" s="222">
        <f t="shared" si="75"/>
        <v>0</v>
      </c>
    </row>
    <row r="150" spans="1:48" ht="18.75" customHeight="1" x14ac:dyDescent="0.3">
      <c r="A150" s="30" t="s">
        <v>252</v>
      </c>
      <c r="B150" s="26" t="s">
        <v>1077</v>
      </c>
      <c r="C150" s="18" t="s">
        <v>63</v>
      </c>
      <c r="D150" s="19" t="s">
        <v>64</v>
      </c>
      <c r="E150" s="20" t="s">
        <v>735</v>
      </c>
      <c r="F150" s="6"/>
      <c r="G150" s="45"/>
      <c r="H150" s="6"/>
      <c r="I150" s="45"/>
      <c r="J150" s="6"/>
      <c r="K150" s="6"/>
      <c r="L150" s="45"/>
      <c r="M150" s="6"/>
      <c r="N150" s="6"/>
      <c r="O150" s="6"/>
      <c r="P150" s="45"/>
      <c r="Q150" s="6"/>
      <c r="R150" s="6"/>
      <c r="S150" s="6"/>
      <c r="T150" s="6"/>
      <c r="U150" s="6"/>
      <c r="V150" s="6"/>
      <c r="W150" s="6">
        <v>1</v>
      </c>
      <c r="X150" s="6"/>
      <c r="Y150" s="6"/>
      <c r="Z150" s="6"/>
      <c r="AA150" s="45"/>
      <c r="AB150" s="6"/>
      <c r="AC150" s="6"/>
      <c r="AD150" s="6"/>
      <c r="AE150" s="7">
        <v>0.32500000000000001</v>
      </c>
      <c r="AF150" s="7"/>
      <c r="AG150" s="16">
        <f t="shared" ref="AG150:AG159" si="83">ROUND((AE150*1.2*1.5+4)*10,0)/10</f>
        <v>4.5999999999999996</v>
      </c>
      <c r="AH150" s="17">
        <f t="shared" ref="AH150:AH159" si="84">ROUND((AE150*1.2*1.5+10)*10,0)/10</f>
        <v>10.6</v>
      </c>
      <c r="AI150" s="16">
        <f t="shared" ref="AI150:AI159" si="85">ROUND(AH150/0.7*1.22,0)</f>
        <v>18</v>
      </c>
      <c r="AJ150" s="5" t="s">
        <v>136</v>
      </c>
      <c r="AK150" s="13"/>
      <c r="AL150" s="95"/>
      <c r="AM150" s="131"/>
      <c r="AN150" s="104"/>
      <c r="AO150" s="218"/>
      <c r="AP150" s="144"/>
      <c r="AQ150" s="145"/>
      <c r="AR150" s="219"/>
      <c r="AS150" s="97"/>
      <c r="AT150" s="165"/>
      <c r="AU150" s="220"/>
      <c r="AV150" s="222">
        <f t="shared" si="75"/>
        <v>0</v>
      </c>
    </row>
    <row r="151" spans="1:48" ht="18.75" customHeight="1" x14ac:dyDescent="0.3">
      <c r="A151" s="30" t="s">
        <v>218</v>
      </c>
      <c r="B151" s="26" t="s">
        <v>1078</v>
      </c>
      <c r="C151" s="18" t="s">
        <v>67</v>
      </c>
      <c r="D151" s="19" t="s">
        <v>68</v>
      </c>
      <c r="E151" s="20" t="s">
        <v>100</v>
      </c>
      <c r="F151" s="6"/>
      <c r="G151" s="45"/>
      <c r="H151" s="6"/>
      <c r="I151" s="45"/>
      <c r="J151" s="6"/>
      <c r="K151" s="6"/>
      <c r="L151" s="45"/>
      <c r="M151" s="6"/>
      <c r="N151" s="6"/>
      <c r="O151" s="6"/>
      <c r="P151" s="45"/>
      <c r="Q151" s="6"/>
      <c r="R151" s="6"/>
      <c r="S151" s="6"/>
      <c r="T151" s="6"/>
      <c r="U151" s="6"/>
      <c r="V151" s="6"/>
      <c r="W151" s="6">
        <v>2</v>
      </c>
      <c r="X151" s="6"/>
      <c r="Y151" s="6"/>
      <c r="Z151" s="6"/>
      <c r="AA151" s="45"/>
      <c r="AB151" s="6"/>
      <c r="AC151" s="6"/>
      <c r="AD151" s="6"/>
      <c r="AE151" s="7">
        <v>2.1840000000000002</v>
      </c>
      <c r="AF151" s="7"/>
      <c r="AG151" s="16">
        <f t="shared" si="83"/>
        <v>7.9</v>
      </c>
      <c r="AH151" s="17">
        <f t="shared" si="84"/>
        <v>13.9</v>
      </c>
      <c r="AI151" s="16">
        <f t="shared" si="85"/>
        <v>24</v>
      </c>
      <c r="AJ151" s="5" t="s">
        <v>137</v>
      </c>
      <c r="AK151" s="13"/>
      <c r="AL151" s="95"/>
      <c r="AM151" s="131"/>
      <c r="AN151" s="104"/>
      <c r="AO151" s="218"/>
      <c r="AP151" s="144"/>
      <c r="AQ151" s="145"/>
      <c r="AR151" s="219"/>
      <c r="AS151" s="97"/>
      <c r="AT151" s="165"/>
      <c r="AU151" s="220"/>
      <c r="AV151" s="222">
        <f t="shared" si="75"/>
        <v>0</v>
      </c>
    </row>
    <row r="152" spans="1:48" ht="18.75" customHeight="1" x14ac:dyDescent="0.3">
      <c r="A152" s="30" t="s">
        <v>1079</v>
      </c>
      <c r="B152" s="26" t="s">
        <v>1080</v>
      </c>
      <c r="C152" s="18" t="s">
        <v>91</v>
      </c>
      <c r="D152" s="19" t="s">
        <v>92</v>
      </c>
      <c r="E152" s="20" t="s">
        <v>120</v>
      </c>
      <c r="F152" s="6"/>
      <c r="G152" s="45"/>
      <c r="H152" s="6"/>
      <c r="I152" s="45"/>
      <c r="J152" s="6"/>
      <c r="K152" s="6"/>
      <c r="L152" s="45"/>
      <c r="M152" s="6"/>
      <c r="N152" s="6"/>
      <c r="O152" s="6"/>
      <c r="P152" s="45"/>
      <c r="Q152" s="6"/>
      <c r="R152" s="6"/>
      <c r="S152" s="6"/>
      <c r="T152" s="6"/>
      <c r="U152" s="6"/>
      <c r="V152" s="6"/>
      <c r="W152" s="6">
        <v>1</v>
      </c>
      <c r="X152" s="6"/>
      <c r="Y152" s="6"/>
      <c r="Z152" s="6"/>
      <c r="AA152" s="45"/>
      <c r="AB152" s="6"/>
      <c r="AC152" s="6"/>
      <c r="AD152" s="6"/>
      <c r="AE152" s="7">
        <v>0.39</v>
      </c>
      <c r="AF152" s="7"/>
      <c r="AG152" s="16">
        <f t="shared" si="83"/>
        <v>4.7</v>
      </c>
      <c r="AH152" s="17">
        <f t="shared" si="84"/>
        <v>10.7</v>
      </c>
      <c r="AI152" s="16">
        <f t="shared" si="85"/>
        <v>19</v>
      </c>
      <c r="AJ152" s="5" t="s">
        <v>135</v>
      </c>
      <c r="AK152" s="13"/>
      <c r="AL152" s="95"/>
      <c r="AM152" s="131"/>
      <c r="AN152" s="104"/>
      <c r="AO152" s="218"/>
      <c r="AP152" s="144"/>
      <c r="AQ152" s="145"/>
      <c r="AR152" s="219"/>
      <c r="AS152" s="97"/>
      <c r="AT152" s="165"/>
      <c r="AU152" s="220"/>
      <c r="AV152" s="222">
        <f t="shared" si="75"/>
        <v>0</v>
      </c>
    </row>
    <row r="153" spans="1:48" ht="18.75" customHeight="1" x14ac:dyDescent="0.3">
      <c r="A153" s="30" t="s">
        <v>241</v>
      </c>
      <c r="B153" s="26" t="s">
        <v>1081</v>
      </c>
      <c r="C153" s="18" t="s">
        <v>85</v>
      </c>
      <c r="D153" s="19" t="s">
        <v>86</v>
      </c>
      <c r="E153" s="20" t="s">
        <v>113</v>
      </c>
      <c r="F153" s="6"/>
      <c r="G153" s="45"/>
      <c r="H153" s="6"/>
      <c r="I153" s="45"/>
      <c r="J153" s="6"/>
      <c r="K153" s="6"/>
      <c r="L153" s="45"/>
      <c r="M153" s="6"/>
      <c r="N153" s="6"/>
      <c r="O153" s="6"/>
      <c r="P153" s="45"/>
      <c r="Q153" s="6"/>
      <c r="R153" s="6"/>
      <c r="S153" s="6"/>
      <c r="T153" s="6"/>
      <c r="U153" s="6"/>
      <c r="V153" s="6"/>
      <c r="W153" s="6">
        <v>1</v>
      </c>
      <c r="X153" s="6"/>
      <c r="Y153" s="6"/>
      <c r="Z153" s="6"/>
      <c r="AA153" s="45"/>
      <c r="AB153" s="6"/>
      <c r="AC153" s="6"/>
      <c r="AD153" s="6"/>
      <c r="AE153" s="7">
        <v>6.5000000000000002E-2</v>
      </c>
      <c r="AF153" s="7"/>
      <c r="AG153" s="16">
        <f t="shared" si="83"/>
        <v>4.0999999999999996</v>
      </c>
      <c r="AH153" s="17">
        <f t="shared" si="84"/>
        <v>10.1</v>
      </c>
      <c r="AI153" s="16">
        <f t="shared" si="85"/>
        <v>18</v>
      </c>
      <c r="AJ153" s="5" t="s">
        <v>1</v>
      </c>
      <c r="AK153" s="13"/>
      <c r="AL153" s="95"/>
      <c r="AM153" s="131"/>
      <c r="AN153" s="104"/>
      <c r="AO153" s="218"/>
      <c r="AP153" s="144"/>
      <c r="AQ153" s="145"/>
      <c r="AR153" s="219"/>
      <c r="AS153" s="97"/>
      <c r="AT153" s="165"/>
      <c r="AU153" s="220"/>
      <c r="AV153" s="222">
        <f t="shared" si="75"/>
        <v>0</v>
      </c>
    </row>
    <row r="154" spans="1:48" ht="18.75" customHeight="1" x14ac:dyDescent="0.3">
      <c r="A154" s="30" t="s">
        <v>1082</v>
      </c>
      <c r="B154" s="26" t="s">
        <v>1083</v>
      </c>
      <c r="C154" s="18" t="s">
        <v>95</v>
      </c>
      <c r="D154" s="19" t="s">
        <v>96</v>
      </c>
      <c r="E154" s="20" t="s">
        <v>126</v>
      </c>
      <c r="F154" s="6"/>
      <c r="G154" s="45"/>
      <c r="H154" s="6"/>
      <c r="I154" s="45"/>
      <c r="J154" s="6"/>
      <c r="K154" s="6"/>
      <c r="L154" s="45"/>
      <c r="M154" s="6"/>
      <c r="N154" s="6"/>
      <c r="O154" s="6"/>
      <c r="P154" s="45"/>
      <c r="Q154" s="6"/>
      <c r="R154" s="6"/>
      <c r="S154" s="6"/>
      <c r="T154" s="6"/>
      <c r="U154" s="6"/>
      <c r="V154" s="6"/>
      <c r="W154" s="6">
        <v>1</v>
      </c>
      <c r="X154" s="6"/>
      <c r="Y154" s="6"/>
      <c r="Z154" s="6"/>
      <c r="AA154" s="45"/>
      <c r="AB154" s="6"/>
      <c r="AC154" s="6"/>
      <c r="AD154" s="6"/>
      <c r="AE154" s="7">
        <v>7.8E-2</v>
      </c>
      <c r="AF154" s="7"/>
      <c r="AG154" s="16">
        <f t="shared" si="83"/>
        <v>4.0999999999999996</v>
      </c>
      <c r="AH154" s="17">
        <f t="shared" si="84"/>
        <v>10.1</v>
      </c>
      <c r="AI154" s="16">
        <f t="shared" si="85"/>
        <v>18</v>
      </c>
      <c r="AJ154" s="5" t="s">
        <v>1</v>
      </c>
      <c r="AK154" s="13"/>
      <c r="AL154" s="95"/>
      <c r="AM154" s="131"/>
      <c r="AN154" s="104"/>
      <c r="AO154" s="218"/>
      <c r="AP154" s="144"/>
      <c r="AQ154" s="145"/>
      <c r="AR154" s="219"/>
      <c r="AS154" s="97"/>
      <c r="AT154" s="165"/>
      <c r="AU154" s="220"/>
      <c r="AV154" s="222">
        <f t="shared" si="75"/>
        <v>0</v>
      </c>
    </row>
    <row r="155" spans="1:48" ht="18.75" customHeight="1" x14ac:dyDescent="0.3">
      <c r="A155" s="30" t="s">
        <v>1066</v>
      </c>
      <c r="B155" s="26" t="s">
        <v>1084</v>
      </c>
      <c r="C155" s="18" t="s">
        <v>6</v>
      </c>
      <c r="D155" s="19" t="s">
        <v>7</v>
      </c>
      <c r="E155" s="20" t="s">
        <v>125</v>
      </c>
      <c r="F155" s="6"/>
      <c r="G155" s="45"/>
      <c r="H155" s="6"/>
      <c r="I155" s="45"/>
      <c r="J155" s="6"/>
      <c r="K155" s="6"/>
      <c r="L155" s="45"/>
      <c r="M155" s="6"/>
      <c r="N155" s="6"/>
      <c r="O155" s="6"/>
      <c r="P155" s="45"/>
      <c r="Q155" s="6"/>
      <c r="R155" s="6"/>
      <c r="S155" s="6"/>
      <c r="T155" s="6"/>
      <c r="U155" s="6"/>
      <c r="V155" s="6"/>
      <c r="W155" s="6">
        <v>1</v>
      </c>
      <c r="X155" s="6"/>
      <c r="Y155" s="6"/>
      <c r="Z155" s="6"/>
      <c r="AA155" s="45"/>
      <c r="AB155" s="6"/>
      <c r="AC155" s="6"/>
      <c r="AD155" s="6"/>
      <c r="AE155" s="7">
        <v>1.7290000000000001</v>
      </c>
      <c r="AF155" s="7"/>
      <c r="AG155" s="16">
        <f t="shared" si="83"/>
        <v>7.1</v>
      </c>
      <c r="AH155" s="17">
        <f t="shared" si="84"/>
        <v>13.1</v>
      </c>
      <c r="AI155" s="16">
        <f t="shared" si="85"/>
        <v>23</v>
      </c>
      <c r="AJ155" s="5" t="s">
        <v>1</v>
      </c>
      <c r="AK155" s="13"/>
      <c r="AL155" s="95"/>
      <c r="AM155" s="131"/>
      <c r="AN155" s="104"/>
      <c r="AO155" s="218"/>
      <c r="AP155" s="144"/>
      <c r="AQ155" s="145"/>
      <c r="AR155" s="219"/>
      <c r="AS155" s="97"/>
      <c r="AT155" s="165"/>
      <c r="AU155" s="220"/>
      <c r="AV155" s="222">
        <f t="shared" si="75"/>
        <v>0</v>
      </c>
    </row>
    <row r="156" spans="1:48" ht="18.75" customHeight="1" x14ac:dyDescent="0.3">
      <c r="A156" s="30" t="s">
        <v>1085</v>
      </c>
      <c r="B156" s="26" t="s">
        <v>1086</v>
      </c>
      <c r="C156" s="18" t="s">
        <v>79</v>
      </c>
      <c r="D156" s="19" t="s">
        <v>80</v>
      </c>
      <c r="E156" s="20" t="s">
        <v>111</v>
      </c>
      <c r="F156" s="6"/>
      <c r="G156" s="45"/>
      <c r="H156" s="6"/>
      <c r="I156" s="45"/>
      <c r="J156" s="6"/>
      <c r="K156" s="6"/>
      <c r="L156" s="45"/>
      <c r="M156" s="6"/>
      <c r="N156" s="6"/>
      <c r="O156" s="6"/>
      <c r="P156" s="45"/>
      <c r="Q156" s="6"/>
      <c r="R156" s="6"/>
      <c r="S156" s="6"/>
      <c r="T156" s="6"/>
      <c r="U156" s="6"/>
      <c r="V156" s="6"/>
      <c r="W156" s="6">
        <v>1</v>
      </c>
      <c r="X156" s="6"/>
      <c r="Y156" s="6"/>
      <c r="Z156" s="6"/>
      <c r="AA156" s="45"/>
      <c r="AB156" s="6"/>
      <c r="AC156" s="6"/>
      <c r="AD156" s="6"/>
      <c r="AE156" s="7">
        <v>2.6000000000000002E-2</v>
      </c>
      <c r="AF156" s="7"/>
      <c r="AG156" s="16">
        <f t="shared" si="83"/>
        <v>4</v>
      </c>
      <c r="AH156" s="17">
        <f t="shared" si="84"/>
        <v>10</v>
      </c>
      <c r="AI156" s="16">
        <f t="shared" si="85"/>
        <v>17</v>
      </c>
      <c r="AJ156" s="5" t="s">
        <v>135</v>
      </c>
      <c r="AK156" s="13"/>
      <c r="AL156" s="95"/>
      <c r="AM156" s="131"/>
      <c r="AN156" s="104"/>
      <c r="AO156" s="218"/>
      <c r="AP156" s="144"/>
      <c r="AQ156" s="145"/>
      <c r="AR156" s="219"/>
      <c r="AS156" s="97"/>
      <c r="AT156" s="165"/>
      <c r="AU156" s="220"/>
      <c r="AV156" s="222">
        <f t="shared" si="75"/>
        <v>0</v>
      </c>
    </row>
    <row r="157" spans="1:48" ht="18.75" customHeight="1" x14ac:dyDescent="0.3">
      <c r="A157" s="30" t="s">
        <v>1087</v>
      </c>
      <c r="B157" s="26" t="s">
        <v>1088</v>
      </c>
      <c r="C157" s="18" t="s">
        <v>79</v>
      </c>
      <c r="D157" s="19" t="s">
        <v>80</v>
      </c>
      <c r="E157" s="20" t="s">
        <v>111</v>
      </c>
      <c r="F157" s="6"/>
      <c r="G157" s="45"/>
      <c r="H157" s="6"/>
      <c r="I157" s="45"/>
      <c r="J157" s="6"/>
      <c r="K157" s="6"/>
      <c r="L157" s="45"/>
      <c r="M157" s="6"/>
      <c r="N157" s="6"/>
      <c r="O157" s="6"/>
      <c r="P157" s="45"/>
      <c r="Q157" s="6"/>
      <c r="R157" s="6"/>
      <c r="S157" s="6"/>
      <c r="T157" s="6"/>
      <c r="U157" s="6"/>
      <c r="V157" s="6"/>
      <c r="W157" s="6">
        <v>1</v>
      </c>
      <c r="X157" s="6"/>
      <c r="Y157" s="6"/>
      <c r="Z157" s="6"/>
      <c r="AA157" s="45"/>
      <c r="AB157" s="6"/>
      <c r="AC157" s="6"/>
      <c r="AD157" s="6"/>
      <c r="AE157" s="7">
        <v>0.23399999999999999</v>
      </c>
      <c r="AF157" s="7"/>
      <c r="AG157" s="16">
        <f t="shared" si="83"/>
        <v>4.4000000000000004</v>
      </c>
      <c r="AH157" s="17">
        <f t="shared" si="84"/>
        <v>10.4</v>
      </c>
      <c r="AI157" s="16">
        <f t="shared" si="85"/>
        <v>18</v>
      </c>
      <c r="AJ157" s="5" t="s">
        <v>135</v>
      </c>
      <c r="AK157" s="13"/>
      <c r="AL157" s="95"/>
      <c r="AM157" s="131"/>
      <c r="AN157" s="104"/>
      <c r="AO157" s="218"/>
      <c r="AP157" s="144"/>
      <c r="AQ157" s="145"/>
      <c r="AR157" s="219"/>
      <c r="AS157" s="97"/>
      <c r="AT157" s="165"/>
      <c r="AU157" s="220"/>
      <c r="AV157" s="222">
        <f t="shared" si="75"/>
        <v>0</v>
      </c>
    </row>
    <row r="158" spans="1:48" ht="18.75" customHeight="1" x14ac:dyDescent="0.3">
      <c r="A158" s="30" t="s">
        <v>1089</v>
      </c>
      <c r="B158" s="26" t="s">
        <v>1090</v>
      </c>
      <c r="C158" s="18" t="s">
        <v>61</v>
      </c>
      <c r="D158" s="19" t="s">
        <v>62</v>
      </c>
      <c r="E158" s="20" t="s">
        <v>97</v>
      </c>
      <c r="F158" s="6"/>
      <c r="G158" s="45"/>
      <c r="H158" s="6"/>
      <c r="I158" s="45"/>
      <c r="J158" s="6"/>
      <c r="K158" s="6"/>
      <c r="L158" s="45"/>
      <c r="M158" s="6"/>
      <c r="N158" s="6"/>
      <c r="O158" s="6"/>
      <c r="P158" s="45"/>
      <c r="Q158" s="6"/>
      <c r="R158" s="6"/>
      <c r="S158" s="6"/>
      <c r="T158" s="6"/>
      <c r="U158" s="6"/>
      <c r="V158" s="6"/>
      <c r="W158" s="6">
        <v>1</v>
      </c>
      <c r="X158" s="6"/>
      <c r="Y158" s="6"/>
      <c r="Z158" s="6"/>
      <c r="AA158" s="45"/>
      <c r="AB158" s="6"/>
      <c r="AC158" s="6"/>
      <c r="AD158" s="6"/>
      <c r="AE158" s="7">
        <v>0.71500000000000008</v>
      </c>
      <c r="AF158" s="7"/>
      <c r="AG158" s="16">
        <f t="shared" si="83"/>
        <v>5.3</v>
      </c>
      <c r="AH158" s="17">
        <f t="shared" si="84"/>
        <v>11.3</v>
      </c>
      <c r="AI158" s="16">
        <f t="shared" si="85"/>
        <v>20</v>
      </c>
      <c r="AJ158" s="5" t="s">
        <v>135</v>
      </c>
      <c r="AK158" s="13"/>
      <c r="AL158" s="95"/>
      <c r="AM158" s="131"/>
      <c r="AN158" s="104"/>
      <c r="AO158" s="218"/>
      <c r="AP158" s="144"/>
      <c r="AQ158" s="145"/>
      <c r="AR158" s="219"/>
      <c r="AS158" s="97"/>
      <c r="AT158" s="165"/>
      <c r="AU158" s="220"/>
      <c r="AV158" s="222">
        <f t="shared" si="75"/>
        <v>0</v>
      </c>
    </row>
    <row r="159" spans="1:48" ht="18.75" customHeight="1" x14ac:dyDescent="0.3">
      <c r="A159" s="30" t="s">
        <v>1091</v>
      </c>
      <c r="B159" s="26" t="s">
        <v>1092</v>
      </c>
      <c r="C159" s="18" t="s">
        <v>61</v>
      </c>
      <c r="D159" s="19" t="s">
        <v>62</v>
      </c>
      <c r="E159" s="20" t="s">
        <v>97</v>
      </c>
      <c r="F159" s="6"/>
      <c r="G159" s="45"/>
      <c r="H159" s="6"/>
      <c r="I159" s="45"/>
      <c r="J159" s="6"/>
      <c r="K159" s="6"/>
      <c r="L159" s="45"/>
      <c r="M159" s="6"/>
      <c r="N159" s="6"/>
      <c r="O159" s="6"/>
      <c r="P159" s="45"/>
      <c r="Q159" s="6"/>
      <c r="R159" s="6"/>
      <c r="S159" s="6"/>
      <c r="T159" s="6"/>
      <c r="U159" s="6"/>
      <c r="V159" s="6"/>
      <c r="W159" s="6">
        <v>1</v>
      </c>
      <c r="X159" s="6"/>
      <c r="Y159" s="6"/>
      <c r="Z159" s="6"/>
      <c r="AA159" s="45"/>
      <c r="AB159" s="6"/>
      <c r="AC159" s="6"/>
      <c r="AD159" s="6"/>
      <c r="AE159" s="7">
        <v>0.59800000000000009</v>
      </c>
      <c r="AF159" s="7"/>
      <c r="AG159" s="16">
        <f t="shared" si="83"/>
        <v>5.0999999999999996</v>
      </c>
      <c r="AH159" s="17">
        <f t="shared" si="84"/>
        <v>11.1</v>
      </c>
      <c r="AI159" s="16">
        <f t="shared" si="85"/>
        <v>19</v>
      </c>
      <c r="AJ159" s="5" t="s">
        <v>135</v>
      </c>
      <c r="AK159" s="13"/>
      <c r="AL159" s="95"/>
      <c r="AM159" s="131"/>
      <c r="AN159" s="104"/>
      <c r="AO159" s="218"/>
      <c r="AP159" s="144"/>
      <c r="AQ159" s="145"/>
      <c r="AR159" s="219"/>
      <c r="AS159" s="97"/>
      <c r="AT159" s="165"/>
      <c r="AU159" s="220"/>
      <c r="AV159" s="222">
        <f t="shared" si="75"/>
        <v>0</v>
      </c>
    </row>
    <row r="160" spans="1:48" ht="18.75" customHeight="1" x14ac:dyDescent="0.3">
      <c r="A160" s="30" t="s">
        <v>1093</v>
      </c>
      <c r="B160" s="26" t="s">
        <v>1094</v>
      </c>
      <c r="C160" s="18" t="s">
        <v>737</v>
      </c>
      <c r="D160" s="19" t="s">
        <v>738</v>
      </c>
      <c r="E160" s="20" t="s">
        <v>735</v>
      </c>
      <c r="F160" s="6"/>
      <c r="G160" s="45"/>
      <c r="H160" s="6">
        <v>1</v>
      </c>
      <c r="I160" s="45"/>
      <c r="J160" s="6"/>
      <c r="K160" s="6"/>
      <c r="L160" s="45"/>
      <c r="M160" s="6"/>
      <c r="N160" s="6"/>
      <c r="O160" s="6"/>
      <c r="P160" s="4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45"/>
      <c r="AB160" s="6"/>
      <c r="AC160" s="6"/>
      <c r="AD160" s="6"/>
      <c r="AE160" s="7">
        <v>9.75</v>
      </c>
      <c r="AF160" s="7"/>
      <c r="AG160" s="16">
        <f t="shared" ref="AG160" si="86">ROUND((AE160*1.2*1.5+4)*10,0)/10</f>
        <v>21.6</v>
      </c>
      <c r="AH160" s="17">
        <f t="shared" ref="AH160" si="87">ROUND((AE160*1.2*1.5+10)*10,0)/10</f>
        <v>27.6</v>
      </c>
      <c r="AI160" s="16">
        <f t="shared" ref="AI160" si="88">ROUND(AH160/0.7*1.22,0)</f>
        <v>48</v>
      </c>
      <c r="AJ160" s="5" t="s">
        <v>136</v>
      </c>
      <c r="AK160" s="13"/>
      <c r="AL160" s="95"/>
      <c r="AM160" s="131"/>
      <c r="AN160" s="104"/>
      <c r="AO160" s="218"/>
      <c r="AP160" s="144"/>
      <c r="AQ160" s="145"/>
      <c r="AR160" s="219"/>
      <c r="AS160" s="97"/>
      <c r="AT160" s="165"/>
      <c r="AU160" s="220"/>
      <c r="AV160" s="222">
        <f t="shared" si="75"/>
        <v>0</v>
      </c>
    </row>
    <row r="161" spans="1:48" ht="18.75" customHeight="1" x14ac:dyDescent="0.3">
      <c r="A161" s="30" t="s">
        <v>1093</v>
      </c>
      <c r="B161" s="26" t="s">
        <v>1095</v>
      </c>
      <c r="C161" s="18" t="s">
        <v>737</v>
      </c>
      <c r="D161" s="19" t="s">
        <v>738</v>
      </c>
      <c r="E161" s="20" t="s">
        <v>735</v>
      </c>
      <c r="F161" s="6"/>
      <c r="G161" s="45"/>
      <c r="H161" s="6"/>
      <c r="I161" s="45">
        <v>1</v>
      </c>
      <c r="J161" s="6"/>
      <c r="K161" s="6"/>
      <c r="L161" s="45"/>
      <c r="M161" s="6"/>
      <c r="N161" s="6"/>
      <c r="O161" s="6"/>
      <c r="P161" s="45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45"/>
      <c r="AB161" s="6"/>
      <c r="AC161" s="6"/>
      <c r="AD161" s="6"/>
      <c r="AE161" s="7">
        <v>14.82</v>
      </c>
      <c r="AF161" s="7"/>
      <c r="AG161" s="16">
        <f t="shared" ref="AG161" si="89">ROUND((AE161*1.2*1.5+4)*10,0)/10</f>
        <v>30.7</v>
      </c>
      <c r="AH161" s="17">
        <f t="shared" ref="AH161" si="90">ROUND((AE161*1.2*1.5+10)*10,0)/10</f>
        <v>36.700000000000003</v>
      </c>
      <c r="AI161" s="16">
        <f t="shared" ref="AI161" si="91">ROUND(AH161/0.7*1.22,0)</f>
        <v>64</v>
      </c>
      <c r="AJ161" s="5" t="s">
        <v>136</v>
      </c>
      <c r="AK161" s="13"/>
      <c r="AL161" s="95"/>
      <c r="AM161" s="131"/>
      <c r="AN161" s="104"/>
      <c r="AO161" s="218"/>
      <c r="AP161" s="144"/>
      <c r="AQ161" s="145"/>
      <c r="AR161" s="219"/>
      <c r="AS161" s="97"/>
      <c r="AT161" s="165"/>
      <c r="AU161" s="220"/>
      <c r="AV161" s="222">
        <f t="shared" si="75"/>
        <v>0</v>
      </c>
    </row>
    <row r="162" spans="1:48" ht="18.75" customHeight="1" x14ac:dyDescent="0.3">
      <c r="A162" s="45"/>
      <c r="B162" s="26"/>
      <c r="C162" s="18"/>
      <c r="D162" s="19"/>
      <c r="E162" s="20"/>
      <c r="F162" s="6"/>
      <c r="G162" s="45"/>
      <c r="H162" s="6"/>
      <c r="I162" s="45"/>
      <c r="J162" s="6"/>
      <c r="K162" s="6"/>
      <c r="L162" s="45"/>
      <c r="M162" s="6"/>
      <c r="N162" s="6"/>
      <c r="O162" s="6"/>
      <c r="P162" s="4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45"/>
      <c r="AB162" s="6"/>
      <c r="AC162" s="6"/>
      <c r="AD162" s="6"/>
      <c r="AE162" s="7"/>
      <c r="AF162" s="7"/>
      <c r="AG162" s="16"/>
      <c r="AH162" s="17"/>
      <c r="AI162" s="16"/>
      <c r="AJ162" s="5"/>
      <c r="AK162" s="13"/>
      <c r="AL162" s="95"/>
      <c r="AM162" s="131"/>
      <c r="AN162" s="104"/>
      <c r="AO162" s="218"/>
      <c r="AP162" s="144"/>
      <c r="AQ162" s="145"/>
      <c r="AR162" s="219"/>
      <c r="AS162" s="97"/>
      <c r="AT162" s="165"/>
      <c r="AU162" s="220">
        <v>0</v>
      </c>
      <c r="AV162" s="222">
        <f t="shared" si="75"/>
        <v>0</v>
      </c>
    </row>
    <row r="163" spans="1:48" ht="18.75" customHeight="1" x14ac:dyDescent="0.3">
      <c r="A163" s="45"/>
      <c r="B163" s="26"/>
      <c r="C163" s="18"/>
      <c r="D163" s="19"/>
      <c r="E163" s="20"/>
      <c r="F163" s="6"/>
      <c r="G163" s="45"/>
      <c r="H163" s="6"/>
      <c r="I163" s="45"/>
      <c r="J163" s="6"/>
      <c r="K163" s="6"/>
      <c r="L163" s="45"/>
      <c r="M163" s="6"/>
      <c r="N163" s="6"/>
      <c r="O163" s="6"/>
      <c r="P163" s="45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45"/>
      <c r="AB163" s="6"/>
      <c r="AC163" s="6"/>
      <c r="AD163" s="6"/>
      <c r="AE163" s="7"/>
      <c r="AF163" s="7"/>
      <c r="AG163" s="16"/>
      <c r="AH163" s="17"/>
      <c r="AI163" s="16"/>
      <c r="AJ163" s="5"/>
      <c r="AK163" s="13"/>
      <c r="AL163" s="95"/>
      <c r="AM163" s="131"/>
      <c r="AN163" s="104"/>
      <c r="AO163" s="218"/>
      <c r="AP163" s="144"/>
      <c r="AQ163" s="145"/>
      <c r="AR163" s="219"/>
      <c r="AS163" s="97"/>
      <c r="AT163" s="165"/>
      <c r="AU163" s="220"/>
    </row>
    <row r="164" spans="1:48" ht="18.75" customHeight="1" x14ac:dyDescent="0.3">
      <c r="A164" s="45"/>
      <c r="B164" s="26"/>
      <c r="C164" s="18"/>
      <c r="D164" s="19"/>
      <c r="E164" s="20"/>
      <c r="F164" s="6"/>
      <c r="G164" s="45"/>
      <c r="H164" s="6"/>
      <c r="I164" s="45"/>
      <c r="J164" s="6"/>
      <c r="K164" s="6"/>
      <c r="L164" s="45"/>
      <c r="M164" s="6"/>
      <c r="N164" s="6"/>
      <c r="O164" s="6"/>
      <c r="P164" s="45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45"/>
      <c r="AB164" s="6"/>
      <c r="AC164" s="6"/>
      <c r="AD164" s="6"/>
      <c r="AE164" s="7"/>
      <c r="AF164" s="7"/>
      <c r="AG164" s="16"/>
      <c r="AH164" s="17"/>
      <c r="AI164" s="16"/>
      <c r="AJ164" s="5"/>
      <c r="AK164" s="13"/>
      <c r="AL164" s="95"/>
      <c r="AM164" s="131"/>
      <c r="AN164" s="104"/>
      <c r="AO164" s="218"/>
      <c r="AP164" s="144"/>
      <c r="AQ164" s="145"/>
      <c r="AR164" s="219"/>
      <c r="AS164" s="97"/>
      <c r="AT164" s="165"/>
      <c r="AU164" s="220"/>
    </row>
    <row r="165" spans="1:48" ht="18.75" customHeight="1" x14ac:dyDescent="0.3">
      <c r="A165" s="45"/>
      <c r="B165" s="26"/>
      <c r="C165" s="18"/>
      <c r="D165" s="19"/>
      <c r="E165" s="20"/>
      <c r="F165" s="6"/>
      <c r="G165" s="45"/>
      <c r="H165" s="6"/>
      <c r="I165" s="45"/>
      <c r="J165" s="6"/>
      <c r="K165" s="6"/>
      <c r="L165" s="45"/>
      <c r="M165" s="6"/>
      <c r="N165" s="6"/>
      <c r="O165" s="6"/>
      <c r="P165" s="45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45"/>
      <c r="AB165" s="6"/>
      <c r="AC165" s="6"/>
      <c r="AD165" s="6"/>
      <c r="AE165" s="7"/>
      <c r="AF165" s="7"/>
      <c r="AG165" s="16"/>
      <c r="AH165" s="17"/>
      <c r="AI165" s="16"/>
      <c r="AJ165" s="5"/>
      <c r="AK165" s="13"/>
      <c r="AL165" s="95"/>
      <c r="AM165" s="131"/>
      <c r="AN165" s="104"/>
      <c r="AO165" s="218"/>
      <c r="AP165" s="144"/>
      <c r="AQ165" s="145"/>
      <c r="AR165" s="219"/>
      <c r="AS165" s="97"/>
      <c r="AT165" s="165"/>
      <c r="AU165" s="220"/>
    </row>
    <row r="166" spans="1:48" ht="18.75" customHeight="1" x14ac:dyDescent="0.3">
      <c r="A166" s="45"/>
      <c r="B166" s="26"/>
      <c r="C166" s="18"/>
      <c r="D166" s="19"/>
      <c r="E166" s="20"/>
      <c r="F166" s="6"/>
      <c r="G166" s="45"/>
      <c r="H166" s="6"/>
      <c r="I166" s="45"/>
      <c r="J166" s="6"/>
      <c r="K166" s="6"/>
      <c r="L166" s="45"/>
      <c r="M166" s="6"/>
      <c r="N166" s="6"/>
      <c r="O166" s="6"/>
      <c r="P166" s="45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45"/>
      <c r="AB166" s="6"/>
      <c r="AC166" s="6"/>
      <c r="AD166" s="6"/>
      <c r="AE166" s="7"/>
      <c r="AF166" s="7"/>
      <c r="AG166" s="16"/>
      <c r="AH166" s="17"/>
      <c r="AI166" s="16"/>
      <c r="AJ166" s="5"/>
      <c r="AK166" s="13"/>
      <c r="AL166" s="95"/>
      <c r="AM166" s="131"/>
      <c r="AN166" s="104"/>
      <c r="AO166" s="218"/>
      <c r="AP166" s="144"/>
      <c r="AQ166" s="145"/>
      <c r="AR166" s="219"/>
      <c r="AS166" s="97"/>
      <c r="AT166" s="165"/>
      <c r="AU166" s="220"/>
    </row>
    <row r="167" spans="1:48" ht="18.75" customHeight="1" x14ac:dyDescent="0.3">
      <c r="A167" s="45"/>
      <c r="B167" s="26"/>
      <c r="C167" s="18"/>
      <c r="D167" s="19"/>
      <c r="E167" s="20"/>
      <c r="F167" s="6"/>
      <c r="G167" s="45"/>
      <c r="H167" s="6"/>
      <c r="I167" s="45"/>
      <c r="J167" s="6"/>
      <c r="K167" s="6"/>
      <c r="L167" s="45"/>
      <c r="M167" s="6"/>
      <c r="N167" s="6"/>
      <c r="O167" s="6"/>
      <c r="P167" s="45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45"/>
      <c r="AB167" s="6"/>
      <c r="AC167" s="6"/>
      <c r="AD167" s="6"/>
      <c r="AE167" s="7"/>
      <c r="AF167" s="7"/>
      <c r="AG167" s="16"/>
      <c r="AH167" s="17"/>
      <c r="AI167" s="16"/>
      <c r="AJ167" s="5"/>
      <c r="AK167" s="13"/>
      <c r="AL167" s="95"/>
      <c r="AM167" s="131"/>
      <c r="AN167" s="104"/>
      <c r="AO167" s="218"/>
      <c r="AP167" s="144"/>
      <c r="AQ167" s="145"/>
      <c r="AR167" s="219"/>
      <c r="AS167" s="97"/>
      <c r="AT167" s="165"/>
      <c r="AU167" s="220"/>
    </row>
    <row r="168" spans="1:48" ht="18.75" customHeight="1" x14ac:dyDescent="0.3">
      <c r="A168" s="45"/>
      <c r="B168" s="26"/>
      <c r="C168" s="18"/>
      <c r="D168" s="19"/>
      <c r="E168" s="20"/>
      <c r="F168" s="6"/>
      <c r="G168" s="45"/>
      <c r="H168" s="6"/>
      <c r="I168" s="45"/>
      <c r="J168" s="6"/>
      <c r="K168" s="6"/>
      <c r="L168" s="45"/>
      <c r="M168" s="6"/>
      <c r="N168" s="6"/>
      <c r="O168" s="6"/>
      <c r="P168" s="45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45"/>
      <c r="AB168" s="6"/>
      <c r="AC168" s="6"/>
      <c r="AD168" s="6"/>
      <c r="AE168" s="7"/>
      <c r="AF168" s="7"/>
      <c r="AG168" s="16"/>
      <c r="AH168" s="17"/>
      <c r="AI168" s="16"/>
      <c r="AJ168" s="5"/>
      <c r="AK168" s="13"/>
      <c r="AL168" s="95"/>
      <c r="AM168" s="131"/>
      <c r="AN168" s="104"/>
      <c r="AO168" s="218"/>
      <c r="AP168" s="144"/>
      <c r="AQ168" s="145"/>
      <c r="AR168" s="219"/>
      <c r="AS168" s="97"/>
      <c r="AT168" s="165"/>
      <c r="AU168" s="220"/>
    </row>
    <row r="169" spans="1:48" ht="18.75" customHeight="1" x14ac:dyDescent="0.3">
      <c r="A169" s="45"/>
      <c r="B169" s="26"/>
      <c r="C169" s="18"/>
      <c r="D169" s="19"/>
      <c r="E169" s="20"/>
      <c r="F169" s="6"/>
      <c r="G169" s="45"/>
      <c r="H169" s="6"/>
      <c r="I169" s="45"/>
      <c r="J169" s="6"/>
      <c r="K169" s="6"/>
      <c r="L169" s="45"/>
      <c r="M169" s="6"/>
      <c r="N169" s="6"/>
      <c r="O169" s="6"/>
      <c r="P169" s="45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45"/>
      <c r="AB169" s="6"/>
      <c r="AC169" s="6"/>
      <c r="AD169" s="6"/>
      <c r="AE169" s="7"/>
      <c r="AF169" s="7"/>
      <c r="AG169" s="16"/>
      <c r="AH169" s="17"/>
      <c r="AI169" s="16"/>
      <c r="AJ169" s="5"/>
      <c r="AK169" s="13"/>
      <c r="AL169" s="95"/>
      <c r="AM169" s="131"/>
      <c r="AN169" s="104"/>
      <c r="AO169" s="218"/>
      <c r="AP169" s="144"/>
      <c r="AQ169" s="145"/>
      <c r="AR169" s="219"/>
      <c r="AS169" s="97"/>
      <c r="AT169" s="165"/>
      <c r="AU169" s="220"/>
    </row>
    <row r="170" spans="1:48" ht="18.75" customHeight="1" x14ac:dyDescent="0.3">
      <c r="A170" s="45"/>
      <c r="B170" s="26"/>
      <c r="C170" s="18"/>
      <c r="D170" s="19"/>
      <c r="E170" s="20"/>
      <c r="F170" s="6"/>
      <c r="G170" s="45"/>
      <c r="H170" s="6"/>
      <c r="I170" s="45"/>
      <c r="J170" s="6"/>
      <c r="K170" s="6"/>
      <c r="L170" s="45"/>
      <c r="M170" s="6"/>
      <c r="N170" s="6"/>
      <c r="O170" s="6"/>
      <c r="P170" s="45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45"/>
      <c r="AB170" s="6"/>
      <c r="AC170" s="6"/>
      <c r="AD170" s="6"/>
      <c r="AE170" s="7"/>
      <c r="AF170" s="7"/>
      <c r="AG170" s="16"/>
      <c r="AH170" s="17"/>
      <c r="AI170" s="16"/>
      <c r="AJ170" s="5"/>
      <c r="AK170" s="13"/>
      <c r="AL170" s="95"/>
      <c r="AM170" s="131"/>
      <c r="AN170" s="104"/>
      <c r="AO170" s="218"/>
      <c r="AP170" s="144"/>
      <c r="AQ170" s="145"/>
      <c r="AR170" s="219"/>
      <c r="AS170" s="97"/>
      <c r="AT170" s="165"/>
      <c r="AU170" s="220"/>
    </row>
    <row r="171" spans="1:48" ht="18.75" customHeight="1" x14ac:dyDescent="0.3">
      <c r="A171" s="45"/>
      <c r="B171" s="26"/>
      <c r="C171" s="18"/>
      <c r="D171" s="19"/>
      <c r="E171" s="20"/>
      <c r="F171" s="6"/>
      <c r="G171" s="45"/>
      <c r="H171" s="6"/>
      <c r="I171" s="45"/>
      <c r="J171" s="6"/>
      <c r="K171" s="6"/>
      <c r="L171" s="45"/>
      <c r="M171" s="6"/>
      <c r="N171" s="6"/>
      <c r="O171" s="6"/>
      <c r="P171" s="45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45"/>
      <c r="AB171" s="6"/>
      <c r="AC171" s="6"/>
      <c r="AD171" s="6"/>
      <c r="AE171" s="7"/>
      <c r="AF171" s="7"/>
      <c r="AG171" s="16"/>
      <c r="AH171" s="17"/>
      <c r="AI171" s="16"/>
      <c r="AJ171" s="5"/>
      <c r="AK171" s="13"/>
      <c r="AL171" s="95"/>
      <c r="AM171" s="131"/>
      <c r="AN171" s="104"/>
      <c r="AO171" s="218"/>
      <c r="AP171" s="144"/>
      <c r="AQ171" s="145"/>
      <c r="AR171" s="219"/>
      <c r="AS171" s="97"/>
      <c r="AT171" s="165"/>
      <c r="AU171" s="220"/>
    </row>
    <row r="172" spans="1:48" ht="18.75" customHeight="1" x14ac:dyDescent="0.3">
      <c r="A172" s="45"/>
      <c r="B172" s="26"/>
      <c r="C172" s="18"/>
      <c r="D172" s="19"/>
      <c r="E172" s="20"/>
      <c r="F172" s="6"/>
      <c r="G172" s="45"/>
      <c r="H172" s="6"/>
      <c r="I172" s="45"/>
      <c r="J172" s="6"/>
      <c r="K172" s="6"/>
      <c r="L172" s="45"/>
      <c r="M172" s="6"/>
      <c r="N172" s="6"/>
      <c r="O172" s="6"/>
      <c r="P172" s="45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45"/>
      <c r="AB172" s="6"/>
      <c r="AC172" s="6"/>
      <c r="AD172" s="6"/>
      <c r="AE172" s="7"/>
      <c r="AF172" s="7"/>
      <c r="AG172" s="16"/>
      <c r="AH172" s="17"/>
      <c r="AI172" s="16"/>
      <c r="AJ172" s="5"/>
      <c r="AK172" s="13"/>
      <c r="AL172" s="95"/>
      <c r="AM172" s="131"/>
      <c r="AN172" s="104"/>
      <c r="AO172" s="218"/>
      <c r="AP172" s="144"/>
      <c r="AQ172" s="145"/>
      <c r="AR172" s="219"/>
      <c r="AS172" s="97"/>
      <c r="AT172" s="165"/>
      <c r="AU172" s="220"/>
    </row>
    <row r="173" spans="1:48" ht="18.75" customHeight="1" x14ac:dyDescent="0.3">
      <c r="A173" s="45"/>
      <c r="B173" s="26"/>
      <c r="C173" s="18"/>
      <c r="D173" s="19"/>
      <c r="E173" s="20"/>
      <c r="F173" s="6"/>
      <c r="G173" s="45"/>
      <c r="H173" s="6"/>
      <c r="I173" s="45"/>
      <c r="J173" s="6"/>
      <c r="K173" s="6"/>
      <c r="L173" s="45"/>
      <c r="M173" s="6"/>
      <c r="N173" s="6"/>
      <c r="O173" s="6"/>
      <c r="P173" s="45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45"/>
      <c r="AB173" s="6"/>
      <c r="AC173" s="6"/>
      <c r="AD173" s="6"/>
      <c r="AE173" s="7"/>
      <c r="AF173" s="7"/>
      <c r="AG173" s="16"/>
      <c r="AH173" s="17"/>
      <c r="AI173" s="16"/>
      <c r="AJ173" s="5"/>
      <c r="AK173" s="13"/>
      <c r="AL173" s="95"/>
      <c r="AM173" s="131"/>
      <c r="AN173" s="104"/>
      <c r="AO173" s="218"/>
      <c r="AP173" s="144"/>
      <c r="AQ173" s="145"/>
      <c r="AR173" s="219"/>
      <c r="AS173" s="97"/>
      <c r="AT173" s="165"/>
      <c r="AU173" s="220"/>
    </row>
    <row r="174" spans="1:48" ht="18.75" customHeight="1" x14ac:dyDescent="0.3">
      <c r="A174" s="45"/>
      <c r="B174" s="26"/>
      <c r="C174" s="18"/>
      <c r="D174" s="19"/>
      <c r="E174" s="20"/>
      <c r="F174" s="6"/>
      <c r="G174" s="45"/>
      <c r="H174" s="6"/>
      <c r="I174" s="45"/>
      <c r="J174" s="6"/>
      <c r="K174" s="6"/>
      <c r="L174" s="45"/>
      <c r="M174" s="6"/>
      <c r="N174" s="6"/>
      <c r="O174" s="6"/>
      <c r="P174" s="45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45"/>
      <c r="AB174" s="6"/>
      <c r="AC174" s="6"/>
      <c r="AD174" s="6"/>
      <c r="AE174" s="7"/>
      <c r="AF174" s="7"/>
      <c r="AG174" s="16"/>
      <c r="AH174" s="17"/>
      <c r="AI174" s="16"/>
      <c r="AJ174" s="5"/>
      <c r="AK174" s="13"/>
      <c r="AL174" s="95"/>
      <c r="AM174" s="131"/>
      <c r="AN174" s="104"/>
      <c r="AO174" s="218"/>
      <c r="AP174" s="144"/>
      <c r="AQ174" s="145"/>
      <c r="AR174" s="219"/>
      <c r="AS174" s="97"/>
      <c r="AT174" s="165"/>
      <c r="AU174" s="220"/>
    </row>
    <row r="175" spans="1:48" ht="18.75" customHeight="1" x14ac:dyDescent="0.3">
      <c r="A175" s="45"/>
      <c r="B175" s="26"/>
      <c r="C175" s="18"/>
      <c r="D175" s="19"/>
      <c r="E175" s="20"/>
      <c r="F175" s="6"/>
      <c r="G175" s="45"/>
      <c r="H175" s="6"/>
      <c r="I175" s="45"/>
      <c r="J175" s="6"/>
      <c r="K175" s="6"/>
      <c r="L175" s="45"/>
      <c r="M175" s="6"/>
      <c r="N175" s="6"/>
      <c r="O175" s="6"/>
      <c r="P175" s="45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45"/>
      <c r="AB175" s="6"/>
      <c r="AC175" s="6"/>
      <c r="AD175" s="6"/>
      <c r="AE175" s="7"/>
      <c r="AF175" s="7"/>
      <c r="AG175" s="16"/>
      <c r="AH175" s="17"/>
      <c r="AI175" s="16"/>
      <c r="AJ175" s="5"/>
      <c r="AK175" s="13"/>
      <c r="AL175" s="95"/>
      <c r="AM175" s="131"/>
      <c r="AN175" s="104"/>
      <c r="AO175" s="218"/>
      <c r="AP175" s="144"/>
      <c r="AQ175" s="145"/>
      <c r="AR175" s="219"/>
      <c r="AS175" s="97"/>
      <c r="AT175" s="165"/>
      <c r="AU175" s="220"/>
    </row>
    <row r="176" spans="1:48" ht="18.75" customHeight="1" x14ac:dyDescent="0.3">
      <c r="A176" s="45"/>
      <c r="B176" s="26"/>
      <c r="C176" s="18"/>
      <c r="D176" s="19"/>
      <c r="E176" s="20"/>
      <c r="F176" s="6"/>
      <c r="G176" s="45"/>
      <c r="H176" s="6"/>
      <c r="I176" s="45"/>
      <c r="J176" s="6"/>
      <c r="K176" s="6"/>
      <c r="L176" s="45"/>
      <c r="M176" s="6"/>
      <c r="N176" s="6"/>
      <c r="O176" s="6"/>
      <c r="P176" s="45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45"/>
      <c r="AB176" s="6"/>
      <c r="AC176" s="6"/>
      <c r="AD176" s="6"/>
      <c r="AE176" s="7"/>
      <c r="AF176" s="7"/>
      <c r="AG176" s="16"/>
      <c r="AH176" s="17"/>
      <c r="AI176" s="16"/>
      <c r="AJ176" s="5"/>
      <c r="AK176" s="13"/>
      <c r="AL176" s="95"/>
      <c r="AM176" s="131"/>
      <c r="AN176" s="104"/>
      <c r="AO176" s="218"/>
      <c r="AP176" s="144"/>
      <c r="AQ176" s="145"/>
      <c r="AR176" s="219"/>
      <c r="AS176" s="97"/>
      <c r="AT176" s="165"/>
      <c r="AU176" s="220"/>
    </row>
    <row r="177" spans="1:47" ht="18.75" customHeight="1" x14ac:dyDescent="0.3">
      <c r="A177" s="45"/>
      <c r="B177" s="26"/>
      <c r="C177" s="18"/>
      <c r="D177" s="19"/>
      <c r="E177" s="20"/>
      <c r="F177" s="6"/>
      <c r="G177" s="45"/>
      <c r="H177" s="6"/>
      <c r="I177" s="45"/>
      <c r="J177" s="6"/>
      <c r="K177" s="6"/>
      <c r="L177" s="45"/>
      <c r="M177" s="6"/>
      <c r="N177" s="6"/>
      <c r="O177" s="6"/>
      <c r="P177" s="45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45"/>
      <c r="AB177" s="6"/>
      <c r="AC177" s="6"/>
      <c r="AD177" s="6"/>
      <c r="AE177" s="7"/>
      <c r="AF177" s="7"/>
      <c r="AG177" s="16"/>
      <c r="AH177" s="17"/>
      <c r="AI177" s="16"/>
      <c r="AJ177" s="5"/>
      <c r="AK177" s="13"/>
      <c r="AL177" s="95"/>
      <c r="AM177" s="131"/>
      <c r="AN177" s="104"/>
      <c r="AO177" s="218"/>
      <c r="AP177" s="144"/>
      <c r="AQ177" s="145"/>
      <c r="AR177" s="219"/>
      <c r="AS177" s="97"/>
      <c r="AT177" s="165"/>
      <c r="AU177" s="220"/>
    </row>
    <row r="178" spans="1:47" ht="18.75" customHeight="1" x14ac:dyDescent="0.3">
      <c r="A178" s="45"/>
      <c r="B178" s="26"/>
      <c r="C178" s="18"/>
      <c r="D178" s="19"/>
      <c r="E178" s="20"/>
      <c r="F178" s="6"/>
      <c r="G178" s="45"/>
      <c r="H178" s="6"/>
      <c r="I178" s="45"/>
      <c r="J178" s="6"/>
      <c r="K178" s="6"/>
      <c r="L178" s="45"/>
      <c r="M178" s="6"/>
      <c r="N178" s="6"/>
      <c r="O178" s="6"/>
      <c r="P178" s="45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45"/>
      <c r="AB178" s="6"/>
      <c r="AC178" s="6"/>
      <c r="AD178" s="6"/>
      <c r="AE178" s="7"/>
      <c r="AF178" s="7"/>
      <c r="AG178" s="16"/>
      <c r="AH178" s="17"/>
      <c r="AI178" s="16"/>
      <c r="AJ178" s="5"/>
      <c r="AK178" s="13"/>
      <c r="AL178" s="95"/>
      <c r="AM178" s="131"/>
      <c r="AN178" s="104"/>
      <c r="AO178" s="218"/>
      <c r="AP178" s="144"/>
      <c r="AQ178" s="145"/>
      <c r="AR178" s="219"/>
      <c r="AS178" s="97"/>
      <c r="AT178" s="165"/>
      <c r="AU178" s="220"/>
    </row>
    <row r="179" spans="1:47" ht="18.75" customHeight="1" x14ac:dyDescent="0.3">
      <c r="A179" s="45"/>
      <c r="B179" s="26"/>
      <c r="C179" s="18"/>
      <c r="D179" s="19"/>
      <c r="E179" s="20"/>
      <c r="F179" s="6"/>
      <c r="G179" s="45"/>
      <c r="H179" s="6"/>
      <c r="I179" s="45"/>
      <c r="J179" s="6"/>
      <c r="K179" s="6"/>
      <c r="L179" s="45"/>
      <c r="M179" s="6"/>
      <c r="N179" s="6"/>
      <c r="O179" s="6"/>
      <c r="P179" s="45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45"/>
      <c r="AB179" s="6"/>
      <c r="AC179" s="6"/>
      <c r="AD179" s="6"/>
      <c r="AE179" s="7"/>
      <c r="AF179" s="7"/>
      <c r="AG179" s="16"/>
      <c r="AH179" s="17"/>
      <c r="AI179" s="16"/>
      <c r="AJ179" s="5"/>
      <c r="AK179" s="13"/>
      <c r="AL179" s="95"/>
      <c r="AM179" s="131"/>
      <c r="AN179" s="104"/>
      <c r="AO179" s="218"/>
      <c r="AP179" s="144"/>
      <c r="AQ179" s="145"/>
      <c r="AR179" s="219"/>
      <c r="AS179" s="97"/>
      <c r="AT179" s="165"/>
      <c r="AU179" s="220"/>
    </row>
    <row r="180" spans="1:47" ht="18.75" customHeight="1" x14ac:dyDescent="0.3">
      <c r="A180" s="45"/>
      <c r="B180" s="26"/>
      <c r="C180" s="18"/>
      <c r="D180" s="19"/>
      <c r="E180" s="20"/>
      <c r="F180" s="6"/>
      <c r="G180" s="45"/>
      <c r="H180" s="6"/>
      <c r="I180" s="45"/>
      <c r="J180" s="6"/>
      <c r="K180" s="6"/>
      <c r="L180" s="45"/>
      <c r="M180" s="6"/>
      <c r="N180" s="6"/>
      <c r="O180" s="6"/>
      <c r="P180" s="45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45"/>
      <c r="AB180" s="6"/>
      <c r="AC180" s="6"/>
      <c r="AD180" s="6"/>
      <c r="AE180" s="7"/>
      <c r="AF180" s="7"/>
      <c r="AG180" s="16"/>
      <c r="AH180" s="17"/>
      <c r="AI180" s="16"/>
      <c r="AJ180" s="5"/>
      <c r="AK180" s="13"/>
      <c r="AL180" s="95"/>
      <c r="AM180" s="131"/>
      <c r="AN180" s="104"/>
      <c r="AO180" s="218"/>
      <c r="AP180" s="144"/>
      <c r="AQ180" s="145"/>
      <c r="AR180" s="219"/>
      <c r="AS180" s="97"/>
      <c r="AT180" s="165"/>
      <c r="AU180" s="220"/>
    </row>
    <row r="181" spans="1:47" ht="18.75" customHeight="1" x14ac:dyDescent="0.3">
      <c r="A181" s="45"/>
      <c r="B181" s="26"/>
      <c r="C181" s="18"/>
      <c r="D181" s="19"/>
      <c r="E181" s="20"/>
      <c r="F181" s="6"/>
      <c r="G181" s="45"/>
      <c r="H181" s="6"/>
      <c r="I181" s="45"/>
      <c r="J181" s="6"/>
      <c r="K181" s="6"/>
      <c r="L181" s="45"/>
      <c r="M181" s="6"/>
      <c r="N181" s="6"/>
      <c r="O181" s="6"/>
      <c r="P181" s="45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45"/>
      <c r="AB181" s="6"/>
      <c r="AC181" s="6"/>
      <c r="AD181" s="6"/>
      <c r="AE181" s="7"/>
      <c r="AF181" s="7"/>
      <c r="AG181" s="16"/>
      <c r="AH181" s="17"/>
      <c r="AI181" s="16"/>
      <c r="AJ181" s="5"/>
      <c r="AK181" s="13"/>
      <c r="AL181" s="95"/>
      <c r="AM181" s="131"/>
      <c r="AN181" s="104"/>
      <c r="AO181" s="218"/>
      <c r="AP181" s="144"/>
      <c r="AQ181" s="145"/>
      <c r="AR181" s="219"/>
      <c r="AS181" s="97"/>
      <c r="AT181" s="165"/>
      <c r="AU181" s="220"/>
    </row>
    <row r="182" spans="1:47" ht="18.75" customHeight="1" x14ac:dyDescent="0.3">
      <c r="A182" s="45"/>
      <c r="B182" s="26"/>
      <c r="C182" s="18"/>
      <c r="D182" s="19"/>
      <c r="E182" s="20"/>
      <c r="F182" s="6"/>
      <c r="G182" s="45"/>
      <c r="H182" s="6"/>
      <c r="I182" s="45"/>
      <c r="J182" s="6"/>
      <c r="K182" s="6"/>
      <c r="L182" s="45"/>
      <c r="M182" s="6"/>
      <c r="N182" s="6"/>
      <c r="O182" s="6"/>
      <c r="P182" s="4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45"/>
      <c r="AB182" s="6"/>
      <c r="AC182" s="6"/>
      <c r="AD182" s="6"/>
      <c r="AE182" s="7"/>
      <c r="AF182" s="7"/>
      <c r="AG182" s="16"/>
      <c r="AH182" s="17"/>
      <c r="AI182" s="16"/>
      <c r="AJ182" s="5"/>
      <c r="AK182" s="13"/>
      <c r="AL182" s="95"/>
      <c r="AM182" s="131"/>
      <c r="AN182" s="104"/>
      <c r="AO182" s="218"/>
      <c r="AP182" s="144"/>
      <c r="AQ182" s="145"/>
      <c r="AR182" s="219"/>
      <c r="AS182" s="97"/>
      <c r="AT182" s="165"/>
      <c r="AU182" s="220"/>
    </row>
    <row r="183" spans="1:47" ht="18.75" customHeight="1" x14ac:dyDescent="0.3">
      <c r="A183" s="45"/>
      <c r="B183" s="26"/>
      <c r="C183" s="18"/>
      <c r="D183" s="19"/>
      <c r="E183" s="20"/>
      <c r="F183" s="6"/>
      <c r="G183" s="45"/>
      <c r="H183" s="6"/>
      <c r="I183" s="45"/>
      <c r="J183" s="6"/>
      <c r="K183" s="6"/>
      <c r="L183" s="45"/>
      <c r="M183" s="6"/>
      <c r="N183" s="6"/>
      <c r="O183" s="6"/>
      <c r="P183" s="45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45"/>
      <c r="AB183" s="6"/>
      <c r="AC183" s="6"/>
      <c r="AD183" s="6"/>
      <c r="AE183" s="7"/>
      <c r="AF183" s="7"/>
      <c r="AG183" s="16"/>
      <c r="AH183" s="17"/>
      <c r="AI183" s="16"/>
      <c r="AJ183" s="5"/>
      <c r="AK183" s="13"/>
      <c r="AL183" s="95"/>
      <c r="AM183" s="131"/>
      <c r="AN183" s="104"/>
      <c r="AO183" s="218"/>
      <c r="AP183" s="144"/>
      <c r="AQ183" s="145"/>
      <c r="AR183" s="219"/>
      <c r="AS183" s="97"/>
      <c r="AT183" s="165"/>
      <c r="AU183" s="220"/>
    </row>
    <row r="184" spans="1:47" ht="18.75" customHeight="1" x14ac:dyDescent="0.3">
      <c r="A184" s="45"/>
      <c r="B184" s="26"/>
      <c r="C184" s="18"/>
      <c r="D184" s="19"/>
      <c r="E184" s="20"/>
      <c r="F184" s="6"/>
      <c r="G184" s="45"/>
      <c r="H184" s="6"/>
      <c r="I184" s="45"/>
      <c r="J184" s="6"/>
      <c r="K184" s="6"/>
      <c r="L184" s="45"/>
      <c r="M184" s="6"/>
      <c r="N184" s="6"/>
      <c r="O184" s="6"/>
      <c r="P184" s="45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45"/>
      <c r="AB184" s="6"/>
      <c r="AC184" s="6"/>
      <c r="AD184" s="6"/>
      <c r="AE184" s="7"/>
      <c r="AF184" s="7"/>
      <c r="AG184" s="16"/>
      <c r="AH184" s="17"/>
      <c r="AI184" s="16"/>
      <c r="AJ184" s="5"/>
      <c r="AK184" s="13"/>
      <c r="AL184" s="95"/>
      <c r="AM184" s="131"/>
      <c r="AN184" s="104"/>
      <c r="AO184" s="218"/>
      <c r="AP184" s="144"/>
      <c r="AQ184" s="145"/>
      <c r="AR184" s="219"/>
      <c r="AS184" s="97"/>
      <c r="AT184" s="165"/>
      <c r="AU184" s="220"/>
    </row>
    <row r="185" spans="1:47" ht="18.75" customHeight="1" x14ac:dyDescent="0.3">
      <c r="A185" s="45"/>
      <c r="B185" s="26"/>
      <c r="C185" s="18"/>
      <c r="D185" s="19"/>
      <c r="E185" s="20"/>
      <c r="F185" s="6"/>
      <c r="G185" s="45"/>
      <c r="H185" s="6"/>
      <c r="I185" s="45"/>
      <c r="J185" s="6"/>
      <c r="K185" s="6"/>
      <c r="L185" s="45"/>
      <c r="M185" s="6"/>
      <c r="N185" s="6"/>
      <c r="O185" s="6"/>
      <c r="P185" s="45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45"/>
      <c r="AB185" s="6"/>
      <c r="AC185" s="6"/>
      <c r="AD185" s="6"/>
      <c r="AE185" s="7"/>
      <c r="AF185" s="7"/>
      <c r="AG185" s="16"/>
      <c r="AH185" s="17"/>
      <c r="AI185" s="16"/>
      <c r="AJ185" s="5"/>
      <c r="AK185" s="13"/>
      <c r="AL185" s="95"/>
      <c r="AM185" s="131"/>
      <c r="AN185" s="104"/>
      <c r="AO185" s="218"/>
      <c r="AP185" s="144"/>
      <c r="AQ185" s="145"/>
      <c r="AR185" s="219"/>
      <c r="AS185" s="97"/>
      <c r="AT185" s="165"/>
      <c r="AU185" s="220"/>
    </row>
    <row r="186" spans="1:47" ht="18.75" customHeight="1" x14ac:dyDescent="0.3">
      <c r="A186" s="45"/>
      <c r="B186" s="26"/>
      <c r="C186" s="18"/>
      <c r="D186" s="19"/>
      <c r="E186" s="20"/>
      <c r="F186" s="6"/>
      <c r="G186" s="45"/>
      <c r="H186" s="6"/>
      <c r="I186" s="45"/>
      <c r="J186" s="6"/>
      <c r="K186" s="6"/>
      <c r="L186" s="45"/>
      <c r="M186" s="6"/>
      <c r="N186" s="6"/>
      <c r="O186" s="6"/>
      <c r="P186" s="45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45"/>
      <c r="AB186" s="6"/>
      <c r="AC186" s="6"/>
      <c r="AD186" s="6"/>
      <c r="AE186" s="7"/>
      <c r="AF186" s="7"/>
      <c r="AG186" s="16"/>
      <c r="AH186" s="17"/>
      <c r="AI186" s="16"/>
      <c r="AJ186" s="5"/>
      <c r="AK186" s="13"/>
      <c r="AL186" s="95"/>
      <c r="AM186" s="131"/>
      <c r="AN186" s="104"/>
      <c r="AO186" s="218"/>
      <c r="AP186" s="144"/>
      <c r="AQ186" s="145"/>
      <c r="AR186" s="219"/>
      <c r="AS186" s="97"/>
      <c r="AT186" s="165"/>
      <c r="AU186" s="220"/>
    </row>
    <row r="187" spans="1:47" ht="18.75" customHeight="1" x14ac:dyDescent="0.3">
      <c r="A187" s="45"/>
      <c r="B187" s="26"/>
      <c r="C187" s="18"/>
      <c r="D187" s="19"/>
      <c r="E187" s="20"/>
      <c r="F187" s="6"/>
      <c r="G187" s="45"/>
      <c r="H187" s="6"/>
      <c r="I187" s="45"/>
      <c r="J187" s="6"/>
      <c r="K187" s="6"/>
      <c r="L187" s="45"/>
      <c r="M187" s="6"/>
      <c r="N187" s="6"/>
      <c r="O187" s="6"/>
      <c r="P187" s="4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45"/>
      <c r="AB187" s="6"/>
      <c r="AC187" s="6"/>
      <c r="AD187" s="6"/>
      <c r="AE187" s="7"/>
      <c r="AF187" s="7"/>
      <c r="AG187" s="16"/>
      <c r="AH187" s="17"/>
      <c r="AI187" s="16"/>
      <c r="AJ187" s="5"/>
      <c r="AK187" s="13"/>
      <c r="AL187" s="95"/>
      <c r="AM187" s="131"/>
      <c r="AN187" s="104"/>
      <c r="AO187" s="218"/>
      <c r="AP187" s="144"/>
      <c r="AQ187" s="145"/>
      <c r="AR187" s="219"/>
      <c r="AS187" s="97"/>
      <c r="AT187" s="165"/>
      <c r="AU187" s="220"/>
    </row>
    <row r="188" spans="1:47" ht="18.75" customHeight="1" x14ac:dyDescent="0.3">
      <c r="A188" s="45"/>
      <c r="B188" s="26"/>
      <c r="C188" s="18"/>
      <c r="D188" s="19"/>
      <c r="E188" s="20"/>
      <c r="F188" s="6"/>
      <c r="G188" s="45"/>
      <c r="H188" s="6"/>
      <c r="I188" s="45"/>
      <c r="J188" s="6"/>
      <c r="K188" s="6"/>
      <c r="L188" s="45"/>
      <c r="M188" s="6"/>
      <c r="N188" s="6"/>
      <c r="O188" s="6"/>
      <c r="P188" s="4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45"/>
      <c r="AB188" s="6"/>
      <c r="AC188" s="6"/>
      <c r="AD188" s="6"/>
      <c r="AE188" s="7"/>
      <c r="AF188" s="7"/>
      <c r="AG188" s="16"/>
      <c r="AH188" s="17"/>
      <c r="AI188" s="16"/>
      <c r="AJ188" s="5"/>
      <c r="AK188" s="13"/>
      <c r="AL188" s="95"/>
      <c r="AM188" s="131"/>
      <c r="AN188" s="104"/>
      <c r="AO188" s="218"/>
      <c r="AP188" s="144"/>
      <c r="AQ188" s="145"/>
      <c r="AR188" s="219"/>
      <c r="AS188" s="97"/>
      <c r="AT188" s="165"/>
      <c r="AU188" s="220"/>
    </row>
    <row r="189" spans="1:47" ht="18.75" customHeight="1" x14ac:dyDescent="0.3">
      <c r="A189" s="45"/>
      <c r="B189" s="26"/>
      <c r="C189" s="18"/>
      <c r="D189" s="19"/>
      <c r="E189" s="20"/>
      <c r="F189" s="6"/>
      <c r="G189" s="45"/>
      <c r="H189" s="6"/>
      <c r="I189" s="45"/>
      <c r="J189" s="6"/>
      <c r="K189" s="6"/>
      <c r="L189" s="45"/>
      <c r="M189" s="6"/>
      <c r="N189" s="6"/>
      <c r="O189" s="6"/>
      <c r="P189" s="45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45"/>
      <c r="AB189" s="6"/>
      <c r="AC189" s="6"/>
      <c r="AD189" s="6"/>
      <c r="AE189" s="7"/>
      <c r="AF189" s="7"/>
      <c r="AG189" s="16"/>
      <c r="AH189" s="17"/>
      <c r="AI189" s="16"/>
      <c r="AJ189" s="5"/>
      <c r="AK189" s="13"/>
      <c r="AL189" s="95"/>
      <c r="AM189" s="131"/>
      <c r="AN189" s="104"/>
      <c r="AO189" s="218"/>
      <c r="AP189" s="144"/>
      <c r="AQ189" s="145"/>
      <c r="AR189" s="219"/>
      <c r="AS189" s="97"/>
      <c r="AT189" s="165"/>
      <c r="AU189" s="220"/>
    </row>
    <row r="190" spans="1:47" ht="18.75" customHeight="1" x14ac:dyDescent="0.3">
      <c r="A190" s="45"/>
      <c r="B190" s="26"/>
      <c r="C190" s="18"/>
      <c r="D190" s="19"/>
      <c r="E190" s="20"/>
      <c r="F190" s="6"/>
      <c r="G190" s="45"/>
      <c r="H190" s="6"/>
      <c r="I190" s="45"/>
      <c r="J190" s="6"/>
      <c r="K190" s="6"/>
      <c r="L190" s="45"/>
      <c r="M190" s="6"/>
      <c r="N190" s="6"/>
      <c r="O190" s="6"/>
      <c r="P190" s="45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45"/>
      <c r="AB190" s="6"/>
      <c r="AC190" s="6"/>
      <c r="AD190" s="6"/>
      <c r="AE190" s="7"/>
      <c r="AF190" s="7"/>
      <c r="AG190" s="16"/>
      <c r="AH190" s="17"/>
      <c r="AI190" s="16"/>
      <c r="AJ190" s="5"/>
      <c r="AK190" s="13"/>
      <c r="AL190" s="95"/>
      <c r="AM190" s="131"/>
      <c r="AN190" s="104"/>
      <c r="AO190" s="218"/>
      <c r="AP190" s="144"/>
      <c r="AQ190" s="145"/>
      <c r="AR190" s="219"/>
      <c r="AS190" s="97"/>
      <c r="AT190" s="165"/>
      <c r="AU190" s="220"/>
    </row>
    <row r="191" spans="1:47" ht="18.75" customHeight="1" x14ac:dyDescent="0.3">
      <c r="A191" s="45"/>
      <c r="B191" s="26"/>
      <c r="C191" s="18"/>
      <c r="D191" s="19"/>
      <c r="E191" s="20"/>
      <c r="F191" s="6"/>
      <c r="G191" s="45"/>
      <c r="H191" s="6"/>
      <c r="I191" s="45"/>
      <c r="J191" s="6"/>
      <c r="K191" s="6"/>
      <c r="L191" s="45"/>
      <c r="M191" s="6"/>
      <c r="N191" s="6"/>
      <c r="O191" s="6"/>
      <c r="P191" s="45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45"/>
      <c r="AB191" s="6"/>
      <c r="AC191" s="6"/>
      <c r="AD191" s="6"/>
      <c r="AE191" s="7"/>
      <c r="AF191" s="7"/>
      <c r="AG191" s="16"/>
      <c r="AH191" s="17"/>
      <c r="AI191" s="16"/>
      <c r="AJ191" s="5"/>
      <c r="AK191" s="13"/>
      <c r="AL191" s="95"/>
      <c r="AM191" s="131"/>
      <c r="AN191" s="104"/>
      <c r="AO191" s="218"/>
      <c r="AP191" s="144"/>
      <c r="AQ191" s="145"/>
      <c r="AR191" s="219"/>
      <c r="AS191" s="97"/>
      <c r="AT191" s="165"/>
      <c r="AU191" s="220"/>
    </row>
    <row r="192" spans="1:47" ht="18.75" customHeight="1" x14ac:dyDescent="0.3">
      <c r="A192" s="45"/>
      <c r="B192" s="26"/>
      <c r="C192" s="18"/>
      <c r="D192" s="19"/>
      <c r="E192" s="20"/>
      <c r="F192" s="6"/>
      <c r="G192" s="45"/>
      <c r="H192" s="6"/>
      <c r="I192" s="45"/>
      <c r="J192" s="6"/>
      <c r="K192" s="6"/>
      <c r="L192" s="45"/>
      <c r="M192" s="6"/>
      <c r="N192" s="6"/>
      <c r="O192" s="6"/>
      <c r="P192" s="45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45"/>
      <c r="AB192" s="6"/>
      <c r="AC192" s="6"/>
      <c r="AD192" s="6"/>
      <c r="AE192" s="7"/>
      <c r="AF192" s="7"/>
      <c r="AG192" s="16"/>
      <c r="AH192" s="17"/>
      <c r="AI192" s="16"/>
      <c r="AJ192" s="5"/>
      <c r="AK192" s="13"/>
      <c r="AL192" s="95"/>
      <c r="AM192" s="131"/>
      <c r="AN192" s="104"/>
      <c r="AO192" s="218"/>
      <c r="AP192" s="144"/>
      <c r="AQ192" s="145"/>
      <c r="AR192" s="219"/>
      <c r="AS192" s="97"/>
      <c r="AT192" s="165"/>
      <c r="AU192" s="220"/>
    </row>
    <row r="193" spans="1:47" ht="18.75" customHeight="1" x14ac:dyDescent="0.3">
      <c r="A193" s="45"/>
      <c r="B193" s="26"/>
      <c r="C193" s="18"/>
      <c r="D193" s="19"/>
      <c r="E193" s="20"/>
      <c r="F193" s="6"/>
      <c r="G193" s="45"/>
      <c r="H193" s="6"/>
      <c r="I193" s="45"/>
      <c r="J193" s="6"/>
      <c r="K193" s="6"/>
      <c r="L193" s="45"/>
      <c r="M193" s="6"/>
      <c r="N193" s="6"/>
      <c r="O193" s="6"/>
      <c r="P193" s="45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45"/>
      <c r="AB193" s="6"/>
      <c r="AC193" s="6"/>
      <c r="AD193" s="6"/>
      <c r="AE193" s="7"/>
      <c r="AF193" s="7"/>
      <c r="AG193" s="16"/>
      <c r="AH193" s="17"/>
      <c r="AI193" s="16"/>
      <c r="AJ193" s="5"/>
      <c r="AK193" s="13"/>
      <c r="AL193" s="95"/>
      <c r="AM193" s="131"/>
      <c r="AN193" s="104"/>
      <c r="AO193" s="218"/>
      <c r="AP193" s="144"/>
      <c r="AQ193" s="145"/>
      <c r="AR193" s="219"/>
      <c r="AS193" s="97"/>
      <c r="AT193" s="165"/>
      <c r="AU193" s="220"/>
    </row>
    <row r="194" spans="1:47" ht="18.75" customHeight="1" x14ac:dyDescent="0.3">
      <c r="A194" s="45"/>
      <c r="B194" s="26"/>
      <c r="C194" s="18"/>
      <c r="D194" s="19"/>
      <c r="E194" s="20"/>
      <c r="F194" s="6"/>
      <c r="G194" s="45"/>
      <c r="H194" s="6"/>
      <c r="I194" s="45"/>
      <c r="J194" s="6"/>
      <c r="K194" s="6"/>
      <c r="L194" s="45"/>
      <c r="M194" s="6"/>
      <c r="N194" s="6"/>
      <c r="O194" s="6"/>
      <c r="P194" s="45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45"/>
      <c r="AB194" s="6"/>
      <c r="AC194" s="6"/>
      <c r="AD194" s="6"/>
      <c r="AE194" s="7"/>
      <c r="AF194" s="7"/>
      <c r="AG194" s="16"/>
      <c r="AH194" s="17"/>
      <c r="AI194" s="16"/>
      <c r="AJ194" s="5"/>
      <c r="AK194" s="13"/>
      <c r="AL194" s="95"/>
      <c r="AM194" s="131"/>
      <c r="AN194" s="104"/>
      <c r="AO194" s="218"/>
      <c r="AP194" s="144"/>
      <c r="AQ194" s="145"/>
      <c r="AR194" s="219"/>
      <c r="AS194" s="97"/>
      <c r="AT194" s="165"/>
      <c r="AU194" s="220"/>
    </row>
    <row r="195" spans="1:47" ht="18.75" customHeight="1" x14ac:dyDescent="0.3">
      <c r="A195" s="45"/>
      <c r="B195" s="26"/>
      <c r="C195" s="18"/>
      <c r="D195" s="19"/>
      <c r="E195" s="20"/>
      <c r="F195" s="6"/>
      <c r="G195" s="45"/>
      <c r="H195" s="6"/>
      <c r="I195" s="45"/>
      <c r="J195" s="6"/>
      <c r="K195" s="6"/>
      <c r="L195" s="45"/>
      <c r="M195" s="6"/>
      <c r="N195" s="6"/>
      <c r="O195" s="6"/>
      <c r="P195" s="45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45"/>
      <c r="AB195" s="6"/>
      <c r="AC195" s="6"/>
      <c r="AD195" s="6"/>
      <c r="AE195" s="7"/>
      <c r="AF195" s="7"/>
      <c r="AG195" s="16"/>
      <c r="AH195" s="17"/>
      <c r="AI195" s="16"/>
      <c r="AJ195" s="5"/>
      <c r="AK195" s="13"/>
      <c r="AL195" s="95"/>
      <c r="AM195" s="131"/>
      <c r="AN195" s="104"/>
      <c r="AO195" s="218"/>
      <c r="AP195" s="144"/>
      <c r="AQ195" s="145"/>
      <c r="AR195" s="219"/>
      <c r="AS195" s="97"/>
      <c r="AT195" s="165"/>
      <c r="AU195" s="220"/>
    </row>
    <row r="196" spans="1:47" ht="18.75" customHeight="1" x14ac:dyDescent="0.3">
      <c r="A196" s="45"/>
      <c r="B196" s="26"/>
      <c r="C196" s="18"/>
      <c r="D196" s="19"/>
      <c r="E196" s="20"/>
      <c r="F196" s="6"/>
      <c r="G196" s="45"/>
      <c r="H196" s="6"/>
      <c r="I196" s="45"/>
      <c r="J196" s="6"/>
      <c r="K196" s="6"/>
      <c r="L196" s="45"/>
      <c r="M196" s="6"/>
      <c r="N196" s="6"/>
      <c r="O196" s="6"/>
      <c r="P196" s="45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45"/>
      <c r="AB196" s="6"/>
      <c r="AC196" s="6"/>
      <c r="AD196" s="6"/>
      <c r="AE196" s="7"/>
      <c r="AF196" s="7"/>
      <c r="AG196" s="16"/>
      <c r="AH196" s="17"/>
      <c r="AI196" s="16"/>
      <c r="AJ196" s="5"/>
      <c r="AK196" s="13"/>
      <c r="AL196" s="95"/>
      <c r="AM196" s="131"/>
      <c r="AN196" s="104"/>
      <c r="AO196" s="218"/>
      <c r="AP196" s="144"/>
      <c r="AQ196" s="145"/>
      <c r="AR196" s="219"/>
      <c r="AS196" s="97"/>
      <c r="AT196" s="165"/>
      <c r="AU196" s="220"/>
    </row>
    <row r="197" spans="1:47" ht="18.75" customHeight="1" x14ac:dyDescent="0.3">
      <c r="A197" s="45"/>
      <c r="B197" s="26"/>
      <c r="C197" s="18"/>
      <c r="D197" s="19"/>
      <c r="E197" s="20"/>
      <c r="F197" s="6"/>
      <c r="G197" s="45"/>
      <c r="H197" s="6"/>
      <c r="I197" s="45"/>
      <c r="J197" s="6"/>
      <c r="K197" s="6"/>
      <c r="L197" s="45"/>
      <c r="M197" s="6"/>
      <c r="N197" s="6"/>
      <c r="O197" s="6"/>
      <c r="P197" s="45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45"/>
      <c r="AB197" s="6"/>
      <c r="AC197" s="6"/>
      <c r="AD197" s="6"/>
      <c r="AE197" s="7"/>
      <c r="AF197" s="7"/>
      <c r="AG197" s="16"/>
      <c r="AH197" s="17"/>
      <c r="AI197" s="16"/>
      <c r="AJ197" s="5"/>
      <c r="AK197" s="13"/>
      <c r="AL197" s="95"/>
      <c r="AM197" s="131"/>
      <c r="AN197" s="104"/>
      <c r="AO197" s="218"/>
      <c r="AP197" s="144"/>
      <c r="AQ197" s="145"/>
      <c r="AR197" s="219"/>
      <c r="AS197" s="97"/>
      <c r="AT197" s="165"/>
      <c r="AU197" s="220"/>
    </row>
    <row r="198" spans="1:47" ht="18.75" customHeight="1" x14ac:dyDescent="0.3">
      <c r="A198" s="45"/>
      <c r="B198" s="26"/>
      <c r="C198" s="18"/>
      <c r="D198" s="19"/>
      <c r="E198" s="20"/>
      <c r="F198" s="6"/>
      <c r="G198" s="45"/>
      <c r="H198" s="6"/>
      <c r="I198" s="45"/>
      <c r="J198" s="6"/>
      <c r="K198" s="6"/>
      <c r="L198" s="45"/>
      <c r="M198" s="6"/>
      <c r="N198" s="6"/>
      <c r="O198" s="6"/>
      <c r="P198" s="45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45"/>
      <c r="AB198" s="6"/>
      <c r="AC198" s="6"/>
      <c r="AD198" s="6"/>
      <c r="AE198" s="7"/>
      <c r="AF198" s="7"/>
      <c r="AG198" s="16"/>
      <c r="AH198" s="17"/>
      <c r="AI198" s="16"/>
      <c r="AJ198" s="5"/>
      <c r="AK198" s="13"/>
      <c r="AL198" s="95"/>
      <c r="AM198" s="131"/>
      <c r="AN198" s="104"/>
      <c r="AO198" s="218"/>
      <c r="AP198" s="144"/>
      <c r="AQ198" s="145"/>
      <c r="AR198" s="219"/>
      <c r="AS198" s="97"/>
      <c r="AT198" s="165"/>
      <c r="AU198" s="220"/>
    </row>
    <row r="199" spans="1:47" ht="18.75" customHeight="1" x14ac:dyDescent="0.3">
      <c r="A199" s="45"/>
      <c r="B199" s="26"/>
      <c r="C199" s="18"/>
      <c r="D199" s="19"/>
      <c r="E199" s="20"/>
      <c r="F199" s="6"/>
      <c r="G199" s="45"/>
      <c r="H199" s="6"/>
      <c r="I199" s="45"/>
      <c r="J199" s="6"/>
      <c r="K199" s="6"/>
      <c r="L199" s="45"/>
      <c r="M199" s="6"/>
      <c r="N199" s="6"/>
      <c r="O199" s="6"/>
      <c r="P199" s="45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45"/>
      <c r="AB199" s="6"/>
      <c r="AC199" s="6"/>
      <c r="AD199" s="6"/>
      <c r="AE199" s="7"/>
      <c r="AF199" s="7"/>
      <c r="AG199" s="16"/>
      <c r="AH199" s="17"/>
      <c r="AI199" s="16"/>
      <c r="AJ199" s="5"/>
      <c r="AK199" s="13"/>
      <c r="AL199" s="95"/>
      <c r="AM199" s="131"/>
      <c r="AN199" s="104"/>
      <c r="AO199" s="218"/>
      <c r="AP199" s="144"/>
      <c r="AQ199" s="145"/>
      <c r="AR199" s="219"/>
      <c r="AS199" s="97"/>
      <c r="AT199" s="165"/>
      <c r="AU199" s="220"/>
    </row>
    <row r="200" spans="1:47" ht="18.75" customHeight="1" x14ac:dyDescent="0.3">
      <c r="A200" s="45"/>
      <c r="B200" s="26"/>
      <c r="C200" s="18"/>
      <c r="D200" s="19"/>
      <c r="E200" s="20"/>
      <c r="F200" s="6"/>
      <c r="G200" s="45"/>
      <c r="H200" s="6"/>
      <c r="I200" s="45"/>
      <c r="J200" s="6"/>
      <c r="K200" s="6"/>
      <c r="L200" s="45"/>
      <c r="M200" s="6"/>
      <c r="N200" s="6"/>
      <c r="O200" s="6"/>
      <c r="P200" s="45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45"/>
      <c r="AB200" s="6"/>
      <c r="AC200" s="6"/>
      <c r="AD200" s="6"/>
      <c r="AE200" s="7"/>
      <c r="AF200" s="7"/>
      <c r="AG200" s="16"/>
      <c r="AH200" s="17"/>
      <c r="AI200" s="16"/>
      <c r="AJ200" s="5"/>
      <c r="AK200" s="13"/>
      <c r="AL200" s="95"/>
      <c r="AM200" s="131"/>
      <c r="AN200" s="104"/>
      <c r="AO200" s="218"/>
      <c r="AP200" s="144"/>
      <c r="AQ200" s="145"/>
      <c r="AR200" s="219"/>
      <c r="AS200" s="97"/>
      <c r="AT200" s="165"/>
      <c r="AU200" s="220"/>
    </row>
    <row r="201" spans="1:47" ht="18.75" customHeight="1" x14ac:dyDescent="0.3">
      <c r="A201" s="45"/>
      <c r="B201" s="26"/>
      <c r="C201" s="18"/>
      <c r="D201" s="19"/>
      <c r="E201" s="20"/>
      <c r="F201" s="6"/>
      <c r="G201" s="45"/>
      <c r="H201" s="6"/>
      <c r="I201" s="45"/>
      <c r="J201" s="6"/>
      <c r="K201" s="6"/>
      <c r="L201" s="45"/>
      <c r="M201" s="6"/>
      <c r="N201" s="6"/>
      <c r="O201" s="6"/>
      <c r="P201" s="45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45"/>
      <c r="AB201" s="6"/>
      <c r="AC201" s="6"/>
      <c r="AD201" s="6"/>
      <c r="AE201" s="7"/>
      <c r="AF201" s="7"/>
      <c r="AG201" s="16"/>
      <c r="AH201" s="17"/>
      <c r="AI201" s="16"/>
      <c r="AJ201" s="5"/>
      <c r="AK201" s="13"/>
      <c r="AL201" s="95"/>
      <c r="AM201" s="131"/>
      <c r="AN201" s="104"/>
      <c r="AO201" s="218"/>
      <c r="AP201" s="144"/>
      <c r="AQ201" s="145"/>
      <c r="AR201" s="219"/>
      <c r="AS201" s="97"/>
      <c r="AT201" s="165"/>
      <c r="AU201" s="220"/>
    </row>
    <row r="202" spans="1:47" ht="18.75" customHeight="1" x14ac:dyDescent="0.3">
      <c r="A202" s="45"/>
      <c r="B202" s="26"/>
      <c r="C202" s="18"/>
      <c r="D202" s="19"/>
      <c r="E202" s="20"/>
      <c r="F202" s="6"/>
      <c r="G202" s="45"/>
      <c r="H202" s="6"/>
      <c r="I202" s="45"/>
      <c r="J202" s="6"/>
      <c r="K202" s="6"/>
      <c r="L202" s="45"/>
      <c r="M202" s="6"/>
      <c r="N202" s="6"/>
      <c r="O202" s="6"/>
      <c r="P202" s="45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45"/>
      <c r="AB202" s="6"/>
      <c r="AC202" s="6"/>
      <c r="AD202" s="6"/>
      <c r="AE202" s="7"/>
      <c r="AF202" s="7"/>
      <c r="AG202" s="16"/>
      <c r="AH202" s="17"/>
      <c r="AI202" s="16"/>
      <c r="AJ202" s="5"/>
      <c r="AK202" s="13"/>
      <c r="AL202" s="95"/>
      <c r="AM202" s="131"/>
      <c r="AN202" s="104"/>
      <c r="AO202" s="218"/>
      <c r="AP202" s="144"/>
      <c r="AQ202" s="145"/>
      <c r="AR202" s="219"/>
      <c r="AS202" s="97"/>
      <c r="AT202" s="165"/>
      <c r="AU202" s="220"/>
    </row>
    <row r="203" spans="1:47" ht="18.75" customHeight="1" x14ac:dyDescent="0.3">
      <c r="A203" s="45"/>
      <c r="B203" s="26"/>
      <c r="C203" s="18"/>
      <c r="D203" s="19"/>
      <c r="E203" s="20"/>
      <c r="F203" s="6"/>
      <c r="G203" s="45"/>
      <c r="H203" s="6"/>
      <c r="I203" s="45"/>
      <c r="J203" s="6"/>
      <c r="K203" s="6"/>
      <c r="L203" s="45"/>
      <c r="M203" s="6"/>
      <c r="N203" s="6"/>
      <c r="O203" s="6"/>
      <c r="P203" s="45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45"/>
      <c r="AB203" s="6"/>
      <c r="AC203" s="6"/>
      <c r="AD203" s="6"/>
      <c r="AE203" s="7"/>
      <c r="AF203" s="7"/>
      <c r="AG203" s="16"/>
      <c r="AH203" s="17"/>
      <c r="AI203" s="16"/>
      <c r="AJ203" s="5"/>
      <c r="AK203" s="13"/>
      <c r="AL203" s="95"/>
      <c r="AM203" s="131"/>
      <c r="AN203" s="104"/>
      <c r="AO203" s="218"/>
      <c r="AP203" s="144"/>
      <c r="AQ203" s="145"/>
      <c r="AR203" s="219"/>
      <c r="AS203" s="97"/>
      <c r="AT203" s="165"/>
      <c r="AU203" s="220"/>
    </row>
    <row r="204" spans="1:47" ht="18.75" customHeight="1" x14ac:dyDescent="0.3">
      <c r="A204" s="45"/>
      <c r="B204" s="26"/>
      <c r="C204" s="18"/>
      <c r="D204" s="19"/>
      <c r="E204" s="20"/>
      <c r="F204" s="6"/>
      <c r="G204" s="45"/>
      <c r="H204" s="6"/>
      <c r="I204" s="45"/>
      <c r="J204" s="6"/>
      <c r="K204" s="6"/>
      <c r="L204" s="45"/>
      <c r="M204" s="6"/>
      <c r="N204" s="6"/>
      <c r="O204" s="6"/>
      <c r="P204" s="4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45"/>
      <c r="AB204" s="6"/>
      <c r="AC204" s="6"/>
      <c r="AD204" s="6"/>
      <c r="AE204" s="7"/>
      <c r="AF204" s="7"/>
      <c r="AG204" s="16"/>
      <c r="AH204" s="17"/>
      <c r="AI204" s="16"/>
      <c r="AJ204" s="5"/>
      <c r="AK204" s="13"/>
      <c r="AL204" s="95"/>
      <c r="AM204" s="131"/>
      <c r="AN204" s="104"/>
      <c r="AO204" s="218"/>
      <c r="AP204" s="144"/>
      <c r="AQ204" s="145"/>
      <c r="AR204" s="219"/>
      <c r="AS204" s="97"/>
      <c r="AT204" s="165"/>
      <c r="AU204" s="220"/>
    </row>
    <row r="205" spans="1:47" ht="18.75" customHeight="1" x14ac:dyDescent="0.3">
      <c r="A205" s="45"/>
      <c r="B205" s="26"/>
      <c r="C205" s="18"/>
      <c r="D205" s="19"/>
      <c r="E205" s="20"/>
      <c r="F205" s="6"/>
      <c r="G205" s="45"/>
      <c r="H205" s="6"/>
      <c r="I205" s="45"/>
      <c r="J205" s="6"/>
      <c r="K205" s="6"/>
      <c r="L205" s="45"/>
      <c r="M205" s="6"/>
      <c r="N205" s="6"/>
      <c r="O205" s="6"/>
      <c r="P205" s="45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45"/>
      <c r="AB205" s="6"/>
      <c r="AC205" s="6"/>
      <c r="AD205" s="6"/>
      <c r="AE205" s="7"/>
      <c r="AF205" s="7"/>
      <c r="AG205" s="16"/>
      <c r="AH205" s="17"/>
      <c r="AI205" s="16"/>
      <c r="AJ205" s="5"/>
      <c r="AK205" s="13"/>
      <c r="AL205" s="95"/>
      <c r="AM205" s="131"/>
      <c r="AN205" s="104"/>
      <c r="AO205" s="218"/>
      <c r="AP205" s="144"/>
      <c r="AQ205" s="145"/>
      <c r="AR205" s="219"/>
      <c r="AS205" s="97"/>
      <c r="AT205" s="165"/>
      <c r="AU205" s="220"/>
    </row>
    <row r="206" spans="1:47" ht="18.75" customHeight="1" x14ac:dyDescent="0.3">
      <c r="A206" s="45"/>
      <c r="B206" s="26"/>
      <c r="C206" s="18"/>
      <c r="D206" s="19"/>
      <c r="E206" s="20"/>
      <c r="F206" s="6"/>
      <c r="G206" s="45"/>
      <c r="H206" s="6"/>
      <c r="I206" s="45"/>
      <c r="J206" s="6"/>
      <c r="K206" s="6"/>
      <c r="L206" s="45"/>
      <c r="M206" s="6"/>
      <c r="N206" s="6"/>
      <c r="O206" s="6"/>
      <c r="P206" s="45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45"/>
      <c r="AB206" s="6"/>
      <c r="AC206" s="6"/>
      <c r="AD206" s="6"/>
      <c r="AE206" s="7"/>
      <c r="AF206" s="7"/>
      <c r="AG206" s="16"/>
      <c r="AH206" s="17"/>
      <c r="AI206" s="16"/>
      <c r="AJ206" s="5"/>
      <c r="AK206" s="13"/>
      <c r="AL206" s="95"/>
      <c r="AM206" s="131"/>
      <c r="AN206" s="104"/>
      <c r="AO206" s="218"/>
      <c r="AP206" s="144"/>
      <c r="AQ206" s="145"/>
      <c r="AR206" s="219"/>
      <c r="AS206" s="97"/>
      <c r="AT206" s="165"/>
      <c r="AU206" s="220"/>
    </row>
    <row r="207" spans="1:47" ht="18.75" customHeight="1" x14ac:dyDescent="0.3">
      <c r="A207" s="45"/>
      <c r="B207" s="26"/>
      <c r="C207" s="18"/>
      <c r="D207" s="19"/>
      <c r="E207" s="20"/>
      <c r="F207" s="6"/>
      <c r="G207" s="45"/>
      <c r="H207" s="6"/>
      <c r="I207" s="45"/>
      <c r="J207" s="6"/>
      <c r="K207" s="6"/>
      <c r="L207" s="45"/>
      <c r="M207" s="6"/>
      <c r="N207" s="6"/>
      <c r="O207" s="6"/>
      <c r="P207" s="45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45"/>
      <c r="AB207" s="6"/>
      <c r="AC207" s="6"/>
      <c r="AD207" s="6"/>
      <c r="AE207" s="7"/>
      <c r="AF207" s="7"/>
      <c r="AG207" s="16"/>
      <c r="AH207" s="17"/>
      <c r="AI207" s="16"/>
      <c r="AJ207" s="5"/>
      <c r="AK207" s="13"/>
      <c r="AL207" s="95"/>
      <c r="AM207" s="131"/>
      <c r="AN207" s="104"/>
      <c r="AO207" s="218"/>
      <c r="AP207" s="144"/>
      <c r="AQ207" s="145"/>
      <c r="AR207" s="219"/>
      <c r="AS207" s="97"/>
      <c r="AT207" s="165"/>
      <c r="AU207" s="220"/>
    </row>
    <row r="208" spans="1:47" ht="18.75" customHeight="1" x14ac:dyDescent="0.3">
      <c r="A208" s="45"/>
      <c r="B208" s="26"/>
      <c r="C208" s="18"/>
      <c r="D208" s="19"/>
      <c r="E208" s="20"/>
      <c r="F208" s="6"/>
      <c r="G208" s="45"/>
      <c r="H208" s="6"/>
      <c r="I208" s="45"/>
      <c r="J208" s="6"/>
      <c r="K208" s="6"/>
      <c r="L208" s="45"/>
      <c r="M208" s="6"/>
      <c r="N208" s="6"/>
      <c r="O208" s="6"/>
      <c r="P208" s="45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45"/>
      <c r="AB208" s="6"/>
      <c r="AC208" s="6"/>
      <c r="AD208" s="6"/>
      <c r="AE208" s="7"/>
      <c r="AF208" s="7"/>
      <c r="AG208" s="16"/>
      <c r="AH208" s="17"/>
      <c r="AI208" s="16"/>
      <c r="AJ208" s="5"/>
      <c r="AK208" s="13"/>
      <c r="AL208" s="95"/>
      <c r="AM208" s="131"/>
      <c r="AN208" s="104"/>
      <c r="AO208" s="218"/>
      <c r="AP208" s="144"/>
      <c r="AQ208" s="145"/>
      <c r="AR208" s="219"/>
      <c r="AS208" s="97"/>
      <c r="AT208" s="165"/>
      <c r="AU208" s="220"/>
    </row>
    <row r="209" spans="1:47" ht="18.75" customHeight="1" x14ac:dyDescent="0.3">
      <c r="A209" s="45"/>
      <c r="B209" s="26"/>
      <c r="C209" s="18"/>
      <c r="D209" s="19"/>
      <c r="E209" s="20"/>
      <c r="F209" s="6"/>
      <c r="G209" s="45"/>
      <c r="H209" s="6"/>
      <c r="I209" s="45"/>
      <c r="J209" s="6"/>
      <c r="K209" s="6"/>
      <c r="L209" s="45"/>
      <c r="M209" s="6"/>
      <c r="N209" s="6"/>
      <c r="O209" s="6"/>
      <c r="P209" s="45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45"/>
      <c r="AB209" s="6"/>
      <c r="AC209" s="6"/>
      <c r="AD209" s="6"/>
      <c r="AE209" s="7"/>
      <c r="AF209" s="7"/>
      <c r="AG209" s="16"/>
      <c r="AH209" s="17"/>
      <c r="AI209" s="16"/>
      <c r="AJ209" s="5"/>
      <c r="AK209" s="13"/>
      <c r="AL209" s="95"/>
      <c r="AM209" s="131"/>
      <c r="AN209" s="104"/>
      <c r="AO209" s="218"/>
      <c r="AP209" s="144"/>
      <c r="AQ209" s="145"/>
      <c r="AR209" s="219"/>
      <c r="AS209" s="97"/>
      <c r="AT209" s="165"/>
      <c r="AU209" s="220"/>
    </row>
    <row r="210" spans="1:47" ht="18.75" customHeight="1" x14ac:dyDescent="0.3">
      <c r="A210" s="45"/>
      <c r="B210" s="26"/>
      <c r="C210" s="18"/>
      <c r="D210" s="19"/>
      <c r="E210" s="20"/>
      <c r="F210" s="6"/>
      <c r="G210" s="45"/>
      <c r="H210" s="6"/>
      <c r="I210" s="45"/>
      <c r="J210" s="6"/>
      <c r="K210" s="6"/>
      <c r="L210" s="45"/>
      <c r="M210" s="6"/>
      <c r="N210" s="6"/>
      <c r="O210" s="6"/>
      <c r="P210" s="45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45"/>
      <c r="AB210" s="6"/>
      <c r="AC210" s="6"/>
      <c r="AD210" s="6"/>
      <c r="AE210" s="7"/>
      <c r="AF210" s="7"/>
      <c r="AG210" s="16"/>
      <c r="AH210" s="17"/>
      <c r="AI210" s="16"/>
      <c r="AJ210" s="5"/>
      <c r="AK210" s="13"/>
      <c r="AL210" s="95"/>
      <c r="AM210" s="131"/>
      <c r="AN210" s="104"/>
      <c r="AO210" s="218"/>
      <c r="AP210" s="144"/>
      <c r="AQ210" s="145"/>
      <c r="AR210" s="219"/>
      <c r="AS210" s="97"/>
      <c r="AT210" s="165"/>
      <c r="AU210" s="220"/>
    </row>
    <row r="211" spans="1:47" ht="18.75" customHeight="1" x14ac:dyDescent="0.3">
      <c r="A211" s="45"/>
      <c r="B211" s="26"/>
      <c r="C211" s="18"/>
      <c r="D211" s="19"/>
      <c r="E211" s="20"/>
      <c r="F211" s="6"/>
      <c r="G211" s="45"/>
      <c r="H211" s="6"/>
      <c r="I211" s="45"/>
      <c r="J211" s="6"/>
      <c r="K211" s="6"/>
      <c r="L211" s="45"/>
      <c r="M211" s="6"/>
      <c r="N211" s="6"/>
      <c r="O211" s="6"/>
      <c r="P211" s="45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45"/>
      <c r="AB211" s="6"/>
      <c r="AC211" s="6"/>
      <c r="AD211" s="6"/>
      <c r="AE211" s="7"/>
      <c r="AF211" s="7"/>
      <c r="AG211" s="16"/>
      <c r="AH211" s="17"/>
      <c r="AI211" s="16"/>
      <c r="AJ211" s="5"/>
      <c r="AK211" s="13"/>
      <c r="AL211" s="95"/>
      <c r="AM211" s="131"/>
      <c r="AN211" s="104"/>
      <c r="AO211" s="218"/>
      <c r="AP211" s="144"/>
      <c r="AQ211" s="145"/>
      <c r="AR211" s="219"/>
      <c r="AS211" s="97"/>
      <c r="AT211" s="165"/>
      <c r="AU211" s="220"/>
    </row>
    <row r="212" spans="1:47" ht="18.75" customHeight="1" x14ac:dyDescent="0.3">
      <c r="A212" s="45"/>
      <c r="B212" s="26"/>
      <c r="C212" s="18"/>
      <c r="D212" s="19"/>
      <c r="E212" s="20"/>
      <c r="F212" s="6"/>
      <c r="G212" s="45"/>
      <c r="H212" s="6"/>
      <c r="I212" s="45"/>
      <c r="J212" s="6"/>
      <c r="K212" s="6"/>
      <c r="L212" s="45"/>
      <c r="M212" s="6"/>
      <c r="N212" s="6"/>
      <c r="O212" s="6"/>
      <c r="P212" s="45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45"/>
      <c r="AB212" s="6"/>
      <c r="AC212" s="6"/>
      <c r="AD212" s="6"/>
      <c r="AE212" s="7"/>
      <c r="AF212" s="7"/>
      <c r="AG212" s="16"/>
      <c r="AH212" s="17"/>
      <c r="AI212" s="16"/>
      <c r="AJ212" s="5"/>
      <c r="AK212" s="13"/>
      <c r="AL212" s="95"/>
      <c r="AM212" s="131"/>
      <c r="AN212" s="104"/>
      <c r="AO212" s="218"/>
      <c r="AP212" s="144"/>
      <c r="AQ212" s="145"/>
      <c r="AR212" s="219"/>
      <c r="AS212" s="97"/>
      <c r="AT212" s="165"/>
      <c r="AU212" s="220"/>
    </row>
    <row r="213" spans="1:47" ht="18.75" customHeight="1" x14ac:dyDescent="0.3">
      <c r="A213" s="45"/>
      <c r="B213" s="26"/>
      <c r="C213" s="18"/>
      <c r="D213" s="19"/>
      <c r="E213" s="20"/>
      <c r="F213" s="6"/>
      <c r="G213" s="45"/>
      <c r="H213" s="6"/>
      <c r="I213" s="45"/>
      <c r="J213" s="6"/>
      <c r="K213" s="6"/>
      <c r="L213" s="45"/>
      <c r="M213" s="6"/>
      <c r="N213" s="6"/>
      <c r="O213" s="6"/>
      <c r="P213" s="45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45"/>
      <c r="AB213" s="6"/>
      <c r="AC213" s="6"/>
      <c r="AD213" s="6"/>
      <c r="AE213" s="7"/>
      <c r="AF213" s="7"/>
      <c r="AG213" s="16"/>
      <c r="AH213" s="17"/>
      <c r="AI213" s="16"/>
      <c r="AJ213" s="5"/>
      <c r="AK213" s="13"/>
      <c r="AL213" s="95"/>
      <c r="AM213" s="131"/>
      <c r="AN213" s="104"/>
      <c r="AO213" s="218"/>
      <c r="AP213" s="144"/>
      <c r="AQ213" s="145"/>
      <c r="AR213" s="219"/>
      <c r="AS213" s="97"/>
      <c r="AT213" s="165"/>
      <c r="AU213" s="220"/>
    </row>
    <row r="214" spans="1:47" ht="18.75" customHeight="1" x14ac:dyDescent="0.3">
      <c r="A214" s="45"/>
      <c r="B214" s="26"/>
      <c r="C214" s="18"/>
      <c r="D214" s="19"/>
      <c r="E214" s="20"/>
      <c r="F214" s="6"/>
      <c r="G214" s="45"/>
      <c r="H214" s="6"/>
      <c r="I214" s="45"/>
      <c r="J214" s="6"/>
      <c r="K214" s="6"/>
      <c r="L214" s="45"/>
      <c r="M214" s="6"/>
      <c r="N214" s="6"/>
      <c r="O214" s="6"/>
      <c r="P214" s="4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45"/>
      <c r="AB214" s="6"/>
      <c r="AC214" s="6"/>
      <c r="AD214" s="6"/>
      <c r="AE214" s="7"/>
      <c r="AF214" s="7"/>
      <c r="AG214" s="16"/>
      <c r="AH214" s="17"/>
      <c r="AI214" s="16"/>
      <c r="AJ214" s="5"/>
      <c r="AK214" s="13"/>
      <c r="AL214" s="95"/>
      <c r="AM214" s="131"/>
      <c r="AN214" s="104"/>
      <c r="AO214" s="218"/>
      <c r="AP214" s="144"/>
      <c r="AQ214" s="145"/>
      <c r="AR214" s="219"/>
      <c r="AS214" s="97"/>
      <c r="AT214" s="165"/>
      <c r="AU214" s="220"/>
    </row>
    <row r="215" spans="1:47" ht="18.75" customHeight="1" x14ac:dyDescent="0.3">
      <c r="A215" s="45"/>
      <c r="B215" s="26"/>
      <c r="C215" s="18"/>
      <c r="D215" s="19"/>
      <c r="E215" s="20"/>
      <c r="F215" s="6"/>
      <c r="G215" s="45"/>
      <c r="H215" s="6"/>
      <c r="I215" s="45"/>
      <c r="J215" s="6"/>
      <c r="K215" s="6"/>
      <c r="L215" s="45"/>
      <c r="M215" s="6"/>
      <c r="N215" s="6"/>
      <c r="O215" s="6"/>
      <c r="P215" s="45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45"/>
      <c r="AB215" s="6"/>
      <c r="AC215" s="6"/>
      <c r="AD215" s="6"/>
      <c r="AE215" s="7"/>
      <c r="AF215" s="7"/>
      <c r="AG215" s="16"/>
      <c r="AH215" s="17"/>
      <c r="AI215" s="16"/>
      <c r="AJ215" s="5"/>
      <c r="AK215" s="13"/>
      <c r="AL215" s="95"/>
      <c r="AM215" s="131"/>
      <c r="AN215" s="104"/>
      <c r="AO215" s="218"/>
      <c r="AP215" s="144"/>
      <c r="AQ215" s="145"/>
      <c r="AR215" s="219"/>
      <c r="AS215" s="97"/>
      <c r="AT215" s="165"/>
      <c r="AU215" s="220"/>
    </row>
    <row r="216" spans="1:47" ht="18.75" customHeight="1" x14ac:dyDescent="0.3">
      <c r="A216" s="45"/>
      <c r="B216" s="26"/>
      <c r="C216" s="18"/>
      <c r="D216" s="19"/>
      <c r="E216" s="20"/>
      <c r="F216" s="6"/>
      <c r="G216" s="45"/>
      <c r="H216" s="6"/>
      <c r="I216" s="45"/>
      <c r="J216" s="6"/>
      <c r="K216" s="6"/>
      <c r="L216" s="45"/>
      <c r="M216" s="6"/>
      <c r="N216" s="6"/>
      <c r="O216" s="6"/>
      <c r="P216" s="4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45"/>
      <c r="AB216" s="6"/>
      <c r="AC216" s="6"/>
      <c r="AD216" s="6"/>
      <c r="AE216" s="7"/>
      <c r="AF216" s="7"/>
      <c r="AG216" s="16"/>
      <c r="AH216" s="17"/>
      <c r="AI216" s="16"/>
      <c r="AJ216" s="5"/>
      <c r="AK216" s="13"/>
      <c r="AL216" s="95"/>
      <c r="AM216" s="131"/>
      <c r="AN216" s="104"/>
      <c r="AO216" s="218"/>
      <c r="AP216" s="144"/>
      <c r="AQ216" s="145"/>
      <c r="AR216" s="219"/>
      <c r="AS216" s="97"/>
      <c r="AT216" s="165"/>
      <c r="AU216" s="220"/>
    </row>
    <row r="217" spans="1:47" ht="18.75" customHeight="1" x14ac:dyDescent="0.3">
      <c r="A217" s="45"/>
      <c r="B217" s="26"/>
      <c r="C217" s="18"/>
      <c r="D217" s="19"/>
      <c r="E217" s="20"/>
      <c r="F217" s="6"/>
      <c r="G217" s="45"/>
      <c r="H217" s="6"/>
      <c r="I217" s="45"/>
      <c r="J217" s="6"/>
      <c r="K217" s="6"/>
      <c r="L217" s="45"/>
      <c r="M217" s="6"/>
      <c r="N217" s="6"/>
      <c r="O217" s="6"/>
      <c r="P217" s="45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45"/>
      <c r="AB217" s="6"/>
      <c r="AC217" s="6"/>
      <c r="AD217" s="6"/>
      <c r="AE217" s="7"/>
      <c r="AF217" s="7"/>
      <c r="AG217" s="16"/>
      <c r="AH217" s="17"/>
      <c r="AI217" s="16"/>
      <c r="AJ217" s="5"/>
      <c r="AK217" s="13"/>
      <c r="AL217" s="95"/>
      <c r="AM217" s="131"/>
      <c r="AN217" s="104"/>
      <c r="AO217" s="218"/>
      <c r="AP217" s="144"/>
      <c r="AQ217" s="145"/>
      <c r="AR217" s="219"/>
      <c r="AS217" s="97"/>
      <c r="AT217" s="165"/>
      <c r="AU217" s="220"/>
    </row>
    <row r="218" spans="1:47" ht="18.75" customHeight="1" x14ac:dyDescent="0.3">
      <c r="A218" s="45"/>
      <c r="B218" s="26"/>
      <c r="C218" s="18"/>
      <c r="D218" s="19"/>
      <c r="E218" s="20"/>
      <c r="F218" s="6"/>
      <c r="G218" s="45"/>
      <c r="H218" s="6"/>
      <c r="I218" s="45"/>
      <c r="J218" s="6"/>
      <c r="K218" s="6"/>
      <c r="L218" s="45"/>
      <c r="M218" s="6"/>
      <c r="N218" s="6"/>
      <c r="O218" s="6"/>
      <c r="P218" s="45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45"/>
      <c r="AB218" s="6"/>
      <c r="AC218" s="6"/>
      <c r="AD218" s="6"/>
      <c r="AE218" s="7"/>
      <c r="AF218" s="7"/>
      <c r="AG218" s="16"/>
      <c r="AH218" s="17"/>
      <c r="AI218" s="16"/>
      <c r="AJ218" s="5"/>
      <c r="AK218" s="13"/>
      <c r="AL218" s="95"/>
      <c r="AM218" s="131"/>
      <c r="AN218" s="104"/>
      <c r="AO218" s="218"/>
      <c r="AP218" s="144"/>
      <c r="AQ218" s="145"/>
      <c r="AR218" s="219"/>
      <c r="AS218" s="97"/>
      <c r="AT218" s="165"/>
      <c r="AU218" s="220"/>
    </row>
    <row r="219" spans="1:47" ht="18.75" customHeight="1" x14ac:dyDescent="0.3">
      <c r="A219" s="45"/>
      <c r="B219" s="26"/>
      <c r="C219" s="18"/>
      <c r="D219" s="19"/>
      <c r="E219" s="20"/>
      <c r="F219" s="6"/>
      <c r="G219" s="45"/>
      <c r="H219" s="6"/>
      <c r="I219" s="45"/>
      <c r="J219" s="6"/>
      <c r="K219" s="6"/>
      <c r="L219" s="45"/>
      <c r="M219" s="6"/>
      <c r="N219" s="6"/>
      <c r="O219" s="6"/>
      <c r="P219" s="45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45"/>
      <c r="AB219" s="6"/>
      <c r="AC219" s="6"/>
      <c r="AD219" s="6"/>
      <c r="AE219" s="7"/>
      <c r="AF219" s="7"/>
      <c r="AG219" s="16"/>
      <c r="AH219" s="17"/>
      <c r="AI219" s="16"/>
      <c r="AJ219" s="5"/>
      <c r="AK219" s="13"/>
      <c r="AL219" s="95"/>
      <c r="AM219" s="131"/>
      <c r="AN219" s="104"/>
      <c r="AO219" s="218"/>
      <c r="AP219" s="144"/>
      <c r="AQ219" s="145"/>
      <c r="AR219" s="219"/>
      <c r="AS219" s="97"/>
      <c r="AT219" s="165"/>
      <c r="AU219" s="220"/>
    </row>
    <row r="220" spans="1:47" ht="18.75" customHeight="1" x14ac:dyDescent="0.3">
      <c r="A220" s="45"/>
      <c r="B220" s="26"/>
      <c r="C220" s="18"/>
      <c r="D220" s="19"/>
      <c r="E220" s="20"/>
      <c r="F220" s="6"/>
      <c r="G220" s="45"/>
      <c r="H220" s="6"/>
      <c r="I220" s="45"/>
      <c r="J220" s="6"/>
      <c r="K220" s="6"/>
      <c r="L220" s="45"/>
      <c r="M220" s="6"/>
      <c r="N220" s="6"/>
      <c r="O220" s="6"/>
      <c r="P220" s="45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45"/>
      <c r="AB220" s="6"/>
      <c r="AC220" s="6"/>
      <c r="AD220" s="6"/>
      <c r="AE220" s="7"/>
      <c r="AF220" s="7"/>
      <c r="AG220" s="16"/>
      <c r="AH220" s="17"/>
      <c r="AI220" s="16"/>
      <c r="AJ220" s="5"/>
      <c r="AK220" s="13"/>
      <c r="AL220" s="95"/>
      <c r="AM220" s="131"/>
      <c r="AN220" s="104"/>
      <c r="AO220" s="218"/>
      <c r="AP220" s="144"/>
      <c r="AQ220" s="145"/>
      <c r="AR220" s="219"/>
      <c r="AS220" s="97"/>
      <c r="AT220" s="165"/>
      <c r="AU220" s="220"/>
    </row>
    <row r="221" spans="1:47" ht="18.75" customHeight="1" x14ac:dyDescent="0.3">
      <c r="A221" s="45"/>
      <c r="B221" s="26"/>
      <c r="C221" s="18"/>
      <c r="D221" s="19"/>
      <c r="E221" s="20"/>
      <c r="F221" s="6"/>
      <c r="G221" s="45"/>
      <c r="H221" s="6"/>
      <c r="I221" s="45"/>
      <c r="J221" s="6"/>
      <c r="K221" s="6"/>
      <c r="L221" s="45"/>
      <c r="M221" s="6"/>
      <c r="N221" s="6"/>
      <c r="O221" s="6"/>
      <c r="P221" s="45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45"/>
      <c r="AB221" s="6"/>
      <c r="AC221" s="6"/>
      <c r="AD221" s="6"/>
      <c r="AE221" s="7"/>
      <c r="AF221" s="7"/>
      <c r="AG221" s="16"/>
      <c r="AH221" s="17"/>
      <c r="AI221" s="16"/>
      <c r="AJ221" s="5"/>
      <c r="AK221" s="13"/>
      <c r="AL221" s="95"/>
      <c r="AM221" s="131"/>
      <c r="AN221" s="104"/>
      <c r="AO221" s="218"/>
      <c r="AP221" s="144"/>
      <c r="AQ221" s="145"/>
      <c r="AR221" s="219"/>
      <c r="AS221" s="97"/>
      <c r="AT221" s="165"/>
      <c r="AU221" s="220"/>
    </row>
    <row r="222" spans="1:47" ht="18.75" customHeight="1" x14ac:dyDescent="0.3">
      <c r="A222" s="45"/>
      <c r="B222" s="26"/>
      <c r="C222" s="18"/>
      <c r="D222" s="19"/>
      <c r="E222" s="20"/>
      <c r="F222" s="6"/>
      <c r="G222" s="45"/>
      <c r="H222" s="6"/>
      <c r="I222" s="45"/>
      <c r="J222" s="6"/>
      <c r="K222" s="6"/>
      <c r="L222" s="45"/>
      <c r="M222" s="6"/>
      <c r="N222" s="6"/>
      <c r="O222" s="6"/>
      <c r="P222" s="45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45"/>
      <c r="AB222" s="6"/>
      <c r="AC222" s="6"/>
      <c r="AD222" s="6"/>
      <c r="AE222" s="7"/>
      <c r="AF222" s="7"/>
      <c r="AG222" s="16"/>
      <c r="AH222" s="17"/>
      <c r="AI222" s="16"/>
      <c r="AJ222" s="5"/>
      <c r="AK222" s="13"/>
      <c r="AL222" s="95"/>
      <c r="AM222" s="131"/>
      <c r="AN222" s="104"/>
      <c r="AO222" s="218"/>
      <c r="AP222" s="144"/>
      <c r="AQ222" s="145"/>
      <c r="AR222" s="219"/>
      <c r="AS222" s="97"/>
      <c r="AT222" s="165"/>
      <c r="AU222" s="220"/>
    </row>
    <row r="223" spans="1:47" ht="18.75" customHeight="1" x14ac:dyDescent="0.3">
      <c r="A223" s="45"/>
      <c r="B223" s="26"/>
      <c r="C223" s="18"/>
      <c r="D223" s="19"/>
      <c r="E223" s="20"/>
      <c r="F223" s="6"/>
      <c r="G223" s="45"/>
      <c r="H223" s="6"/>
      <c r="I223" s="45"/>
      <c r="J223" s="6"/>
      <c r="K223" s="6"/>
      <c r="L223" s="45"/>
      <c r="M223" s="6"/>
      <c r="N223" s="6"/>
      <c r="O223" s="6"/>
      <c r="P223" s="45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45"/>
      <c r="AB223" s="6"/>
      <c r="AC223" s="6"/>
      <c r="AD223" s="6"/>
      <c r="AE223" s="7"/>
      <c r="AF223" s="7"/>
      <c r="AG223" s="16"/>
      <c r="AH223" s="17"/>
      <c r="AI223" s="16"/>
      <c r="AJ223" s="5"/>
      <c r="AK223" s="13"/>
      <c r="AL223" s="95"/>
      <c r="AM223" s="131"/>
      <c r="AN223" s="104"/>
      <c r="AO223" s="218"/>
      <c r="AP223" s="144"/>
      <c r="AQ223" s="145"/>
      <c r="AR223" s="219"/>
      <c r="AS223" s="97"/>
      <c r="AT223" s="165"/>
      <c r="AU223" s="220"/>
    </row>
    <row r="224" spans="1:47" ht="18.75" customHeight="1" x14ac:dyDescent="0.3">
      <c r="A224" s="45"/>
      <c r="B224" s="26"/>
      <c r="C224" s="18"/>
      <c r="D224" s="19"/>
      <c r="E224" s="20"/>
      <c r="F224" s="6"/>
      <c r="G224" s="45"/>
      <c r="H224" s="6"/>
      <c r="I224" s="45"/>
      <c r="J224" s="6"/>
      <c r="K224" s="6"/>
      <c r="L224" s="45"/>
      <c r="M224" s="6"/>
      <c r="N224" s="6"/>
      <c r="O224" s="6"/>
      <c r="P224" s="45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45"/>
      <c r="AB224" s="6"/>
      <c r="AC224" s="6"/>
      <c r="AD224" s="6"/>
      <c r="AE224" s="7"/>
      <c r="AF224" s="7"/>
      <c r="AG224" s="16"/>
      <c r="AH224" s="17"/>
      <c r="AI224" s="16"/>
      <c r="AJ224" s="5"/>
      <c r="AK224" s="13"/>
      <c r="AL224" s="95"/>
      <c r="AM224" s="131"/>
      <c r="AN224" s="104"/>
      <c r="AO224" s="218"/>
      <c r="AP224" s="144"/>
      <c r="AQ224" s="145"/>
      <c r="AR224" s="219"/>
      <c r="AS224" s="97"/>
      <c r="AT224" s="165"/>
      <c r="AU224" s="220"/>
    </row>
    <row r="225" spans="1:47" ht="18.75" customHeight="1" x14ac:dyDescent="0.3">
      <c r="A225" s="45"/>
      <c r="B225" s="26"/>
      <c r="C225" s="18"/>
      <c r="D225" s="19"/>
      <c r="E225" s="20"/>
      <c r="F225" s="6"/>
      <c r="G225" s="45"/>
      <c r="H225" s="6"/>
      <c r="I225" s="45"/>
      <c r="J225" s="6"/>
      <c r="K225" s="6"/>
      <c r="L225" s="45"/>
      <c r="M225" s="6"/>
      <c r="N225" s="6"/>
      <c r="O225" s="6"/>
      <c r="P225" s="45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45"/>
      <c r="AB225" s="6"/>
      <c r="AC225" s="6"/>
      <c r="AD225" s="6"/>
      <c r="AE225" s="7"/>
      <c r="AF225" s="7"/>
      <c r="AG225" s="16"/>
      <c r="AH225" s="17"/>
      <c r="AI225" s="16"/>
      <c r="AJ225" s="5"/>
      <c r="AK225" s="13"/>
      <c r="AL225" s="95"/>
      <c r="AM225" s="131"/>
      <c r="AN225" s="104"/>
      <c r="AO225" s="218"/>
      <c r="AP225" s="144"/>
      <c r="AQ225" s="145"/>
      <c r="AR225" s="219"/>
      <c r="AS225" s="97"/>
      <c r="AT225" s="165"/>
      <c r="AU225" s="220"/>
    </row>
    <row r="226" spans="1:47" ht="18.75" customHeight="1" x14ac:dyDescent="0.3">
      <c r="A226" s="45"/>
      <c r="B226" s="26"/>
      <c r="C226" s="18"/>
      <c r="D226" s="19"/>
      <c r="E226" s="20"/>
      <c r="F226" s="6"/>
      <c r="G226" s="45"/>
      <c r="H226" s="6"/>
      <c r="I226" s="45"/>
      <c r="J226" s="6"/>
      <c r="K226" s="6"/>
      <c r="L226" s="45"/>
      <c r="M226" s="6"/>
      <c r="N226" s="6"/>
      <c r="O226" s="6"/>
      <c r="P226" s="4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45"/>
      <c r="AB226" s="6"/>
      <c r="AC226" s="6"/>
      <c r="AD226" s="6"/>
      <c r="AE226" s="7"/>
      <c r="AF226" s="7"/>
      <c r="AG226" s="16"/>
      <c r="AH226" s="17"/>
      <c r="AI226" s="16"/>
      <c r="AJ226" s="5"/>
      <c r="AK226" s="13"/>
      <c r="AL226" s="95"/>
      <c r="AM226" s="131"/>
      <c r="AN226" s="104"/>
      <c r="AO226" s="218"/>
      <c r="AP226" s="144"/>
      <c r="AQ226" s="145"/>
      <c r="AR226" s="219"/>
      <c r="AS226" s="97"/>
      <c r="AT226" s="165"/>
      <c r="AU226" s="220"/>
    </row>
    <row r="227" spans="1:47" ht="18.75" customHeight="1" x14ac:dyDescent="0.3">
      <c r="A227" s="45"/>
      <c r="B227" s="26"/>
      <c r="C227" s="18"/>
      <c r="D227" s="19"/>
      <c r="E227" s="20"/>
      <c r="F227" s="6"/>
      <c r="G227" s="45"/>
      <c r="H227" s="6"/>
      <c r="I227" s="45"/>
      <c r="J227" s="6"/>
      <c r="K227" s="6"/>
      <c r="L227" s="45"/>
      <c r="M227" s="6"/>
      <c r="N227" s="6"/>
      <c r="O227" s="6"/>
      <c r="P227" s="45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45"/>
      <c r="AB227" s="6"/>
      <c r="AC227" s="6"/>
      <c r="AD227" s="6"/>
      <c r="AE227" s="7"/>
      <c r="AF227" s="7"/>
      <c r="AG227" s="16"/>
      <c r="AH227" s="17"/>
      <c r="AI227" s="16"/>
      <c r="AJ227" s="5"/>
      <c r="AK227" s="13"/>
      <c r="AL227" s="95"/>
      <c r="AM227" s="131"/>
      <c r="AN227" s="104"/>
      <c r="AO227" s="218"/>
      <c r="AP227" s="144"/>
      <c r="AQ227" s="145"/>
      <c r="AR227" s="219"/>
      <c r="AS227" s="97"/>
      <c r="AT227" s="165"/>
      <c r="AU227" s="220"/>
    </row>
    <row r="228" spans="1:47" ht="18.75" customHeight="1" x14ac:dyDescent="0.3">
      <c r="A228" s="45"/>
      <c r="B228" s="26"/>
      <c r="C228" s="18"/>
      <c r="D228" s="19"/>
      <c r="E228" s="20"/>
      <c r="F228" s="6"/>
      <c r="G228" s="45"/>
      <c r="H228" s="6"/>
      <c r="I228" s="45"/>
      <c r="J228" s="6"/>
      <c r="K228" s="6"/>
      <c r="L228" s="45"/>
      <c r="M228" s="6"/>
      <c r="N228" s="6"/>
      <c r="O228" s="6"/>
      <c r="P228" s="45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45"/>
      <c r="AB228" s="6"/>
      <c r="AC228" s="6"/>
      <c r="AD228" s="6"/>
      <c r="AE228" s="7"/>
      <c r="AF228" s="7"/>
      <c r="AG228" s="16"/>
      <c r="AH228" s="17"/>
      <c r="AI228" s="16"/>
      <c r="AJ228" s="5"/>
      <c r="AK228" s="13"/>
      <c r="AL228" s="95"/>
      <c r="AM228" s="131"/>
      <c r="AN228" s="104"/>
      <c r="AO228" s="218"/>
      <c r="AP228" s="144"/>
      <c r="AQ228" s="145"/>
      <c r="AR228" s="219"/>
      <c r="AS228" s="97"/>
      <c r="AT228" s="165"/>
      <c r="AU228" s="220"/>
    </row>
    <row r="229" spans="1:47" ht="18.75" customHeight="1" x14ac:dyDescent="0.3">
      <c r="A229" s="45"/>
      <c r="B229" s="26"/>
      <c r="C229" s="18"/>
      <c r="D229" s="19"/>
      <c r="E229" s="20"/>
      <c r="F229" s="6"/>
      <c r="G229" s="45"/>
      <c r="H229" s="6"/>
      <c r="I229" s="45"/>
      <c r="J229" s="6"/>
      <c r="K229" s="6"/>
      <c r="L229" s="45"/>
      <c r="M229" s="6"/>
      <c r="N229" s="6"/>
      <c r="O229" s="6"/>
      <c r="P229" s="45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45"/>
      <c r="AB229" s="6"/>
      <c r="AC229" s="6"/>
      <c r="AD229" s="6"/>
      <c r="AE229" s="7"/>
      <c r="AF229" s="7"/>
      <c r="AG229" s="16"/>
      <c r="AH229" s="17"/>
      <c r="AI229" s="16"/>
      <c r="AJ229" s="5"/>
      <c r="AK229" s="13"/>
      <c r="AL229" s="95"/>
      <c r="AM229" s="131"/>
      <c r="AN229" s="104"/>
      <c r="AO229" s="218"/>
      <c r="AP229" s="144"/>
      <c r="AQ229" s="145"/>
      <c r="AR229" s="219"/>
      <c r="AS229" s="97"/>
      <c r="AT229" s="165"/>
      <c r="AU229" s="220"/>
    </row>
    <row r="230" spans="1:47" ht="18.75" customHeight="1" x14ac:dyDescent="0.3">
      <c r="A230" s="45"/>
      <c r="B230" s="26"/>
      <c r="C230" s="18"/>
      <c r="D230" s="19"/>
      <c r="E230" s="20"/>
      <c r="F230" s="6"/>
      <c r="G230" s="45"/>
      <c r="H230" s="6"/>
      <c r="I230" s="45"/>
      <c r="J230" s="6"/>
      <c r="K230" s="6"/>
      <c r="L230" s="45"/>
      <c r="M230" s="6"/>
      <c r="N230" s="6"/>
      <c r="O230" s="6"/>
      <c r="P230" s="45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45"/>
      <c r="AB230" s="6"/>
      <c r="AC230" s="6"/>
      <c r="AD230" s="6"/>
      <c r="AE230" s="7"/>
      <c r="AF230" s="7"/>
      <c r="AG230" s="16"/>
      <c r="AH230" s="17"/>
      <c r="AI230" s="16"/>
      <c r="AJ230" s="5"/>
      <c r="AK230" s="13"/>
      <c r="AL230" s="95"/>
      <c r="AM230" s="131"/>
      <c r="AN230" s="104"/>
      <c r="AO230" s="218"/>
      <c r="AP230" s="144"/>
      <c r="AQ230" s="145"/>
      <c r="AR230" s="219"/>
      <c r="AS230" s="97"/>
      <c r="AT230" s="165"/>
      <c r="AU230" s="220"/>
    </row>
    <row r="231" spans="1:47" ht="18.75" customHeight="1" x14ac:dyDescent="0.3">
      <c r="A231" s="45"/>
      <c r="B231" s="26"/>
      <c r="C231" s="18"/>
      <c r="D231" s="19"/>
      <c r="E231" s="20"/>
      <c r="F231" s="6"/>
      <c r="G231" s="45"/>
      <c r="H231" s="6"/>
      <c r="I231" s="45"/>
      <c r="J231" s="6"/>
      <c r="K231" s="6"/>
      <c r="L231" s="45"/>
      <c r="M231" s="6"/>
      <c r="N231" s="6"/>
      <c r="O231" s="6"/>
      <c r="P231" s="45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45"/>
      <c r="AB231" s="6"/>
      <c r="AC231" s="6"/>
      <c r="AD231" s="6"/>
      <c r="AE231" s="7"/>
      <c r="AF231" s="7"/>
      <c r="AG231" s="16"/>
      <c r="AH231" s="17"/>
      <c r="AI231" s="16"/>
      <c r="AJ231" s="5"/>
      <c r="AK231" s="13"/>
      <c r="AL231" s="95"/>
      <c r="AM231" s="131"/>
      <c r="AN231" s="104"/>
      <c r="AO231" s="218"/>
      <c r="AP231" s="144"/>
      <c r="AQ231" s="145"/>
      <c r="AR231" s="219"/>
      <c r="AS231" s="97"/>
      <c r="AT231" s="165"/>
      <c r="AU231" s="220"/>
    </row>
    <row r="232" spans="1:47" ht="18.75" customHeight="1" x14ac:dyDescent="0.3">
      <c r="A232" s="45"/>
      <c r="B232" s="26"/>
      <c r="C232" s="18"/>
      <c r="D232" s="19"/>
      <c r="E232" s="20"/>
      <c r="F232" s="6"/>
      <c r="G232" s="45"/>
      <c r="H232" s="6"/>
      <c r="I232" s="45"/>
      <c r="J232" s="6"/>
      <c r="K232" s="6"/>
      <c r="L232" s="45"/>
      <c r="M232" s="6"/>
      <c r="N232" s="6"/>
      <c r="O232" s="6"/>
      <c r="P232" s="45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45"/>
      <c r="AB232" s="6"/>
      <c r="AC232" s="6"/>
      <c r="AD232" s="6"/>
      <c r="AE232" s="7"/>
      <c r="AF232" s="7"/>
      <c r="AG232" s="16"/>
      <c r="AH232" s="17"/>
      <c r="AI232" s="16"/>
      <c r="AJ232" s="5"/>
      <c r="AK232" s="13"/>
      <c r="AL232" s="95"/>
      <c r="AM232" s="131"/>
      <c r="AN232" s="104"/>
      <c r="AO232" s="218"/>
      <c r="AP232" s="144"/>
      <c r="AQ232" s="145"/>
      <c r="AR232" s="219"/>
      <c r="AS232" s="97"/>
      <c r="AT232" s="165"/>
      <c r="AU232" s="220"/>
    </row>
    <row r="233" spans="1:47" ht="18.75" customHeight="1" x14ac:dyDescent="0.3">
      <c r="A233" s="45"/>
      <c r="B233" s="26"/>
      <c r="C233" s="18"/>
      <c r="D233" s="19"/>
      <c r="E233" s="20"/>
      <c r="F233" s="6"/>
      <c r="G233" s="45"/>
      <c r="H233" s="6"/>
      <c r="I233" s="45"/>
      <c r="J233" s="6"/>
      <c r="K233" s="6"/>
      <c r="L233" s="45"/>
      <c r="M233" s="6"/>
      <c r="N233" s="6"/>
      <c r="O233" s="6"/>
      <c r="P233" s="45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45"/>
      <c r="AB233" s="6"/>
      <c r="AC233" s="6"/>
      <c r="AD233" s="6"/>
      <c r="AE233" s="7"/>
      <c r="AF233" s="7"/>
      <c r="AG233" s="16"/>
      <c r="AH233" s="17"/>
      <c r="AI233" s="16"/>
      <c r="AJ233" s="5"/>
      <c r="AK233" s="13"/>
      <c r="AL233" s="95"/>
      <c r="AM233" s="131"/>
      <c r="AN233" s="104"/>
      <c r="AO233" s="218"/>
      <c r="AP233" s="144"/>
      <c r="AQ233" s="145"/>
      <c r="AR233" s="219"/>
      <c r="AS233" s="97"/>
      <c r="AT233" s="165"/>
      <c r="AU233" s="220"/>
    </row>
    <row r="234" spans="1:47" ht="18.75" customHeight="1" x14ac:dyDescent="0.3">
      <c r="A234" s="45"/>
      <c r="B234" s="26"/>
      <c r="C234" s="18"/>
      <c r="D234" s="19"/>
      <c r="E234" s="20"/>
      <c r="F234" s="6"/>
      <c r="G234" s="45"/>
      <c r="H234" s="6"/>
      <c r="I234" s="45"/>
      <c r="J234" s="6"/>
      <c r="K234" s="6"/>
      <c r="L234" s="45"/>
      <c r="M234" s="6"/>
      <c r="N234" s="6"/>
      <c r="O234" s="6"/>
      <c r="P234" s="45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45"/>
      <c r="AB234" s="6"/>
      <c r="AC234" s="6"/>
      <c r="AD234" s="6"/>
      <c r="AE234" s="7"/>
      <c r="AF234" s="7"/>
      <c r="AG234" s="16"/>
      <c r="AH234" s="17"/>
      <c r="AI234" s="16"/>
      <c r="AJ234" s="5"/>
      <c r="AK234" s="13"/>
      <c r="AL234" s="95"/>
      <c r="AM234" s="131"/>
      <c r="AN234" s="104"/>
      <c r="AO234" s="218"/>
      <c r="AP234" s="144"/>
      <c r="AQ234" s="145"/>
      <c r="AR234" s="219"/>
      <c r="AS234" s="97"/>
      <c r="AT234" s="165"/>
      <c r="AU234" s="220"/>
    </row>
    <row r="235" spans="1:47" ht="18.75" customHeight="1" x14ac:dyDescent="0.3">
      <c r="A235" s="45"/>
      <c r="B235" s="26"/>
      <c r="C235" s="18"/>
      <c r="D235" s="19"/>
      <c r="E235" s="20"/>
      <c r="F235" s="6"/>
      <c r="G235" s="45"/>
      <c r="H235" s="6"/>
      <c r="I235" s="45"/>
      <c r="J235" s="6"/>
      <c r="K235" s="6"/>
      <c r="L235" s="45"/>
      <c r="M235" s="6"/>
      <c r="N235" s="6"/>
      <c r="O235" s="6"/>
      <c r="P235" s="45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45"/>
      <c r="AB235" s="6"/>
      <c r="AC235" s="6"/>
      <c r="AD235" s="6"/>
      <c r="AE235" s="7"/>
      <c r="AF235" s="7"/>
      <c r="AG235" s="16"/>
      <c r="AH235" s="17"/>
      <c r="AI235" s="16"/>
      <c r="AJ235" s="5"/>
      <c r="AK235" s="13"/>
      <c r="AL235" s="95"/>
      <c r="AM235" s="131"/>
      <c r="AN235" s="104"/>
      <c r="AO235" s="218"/>
      <c r="AP235" s="144"/>
      <c r="AQ235" s="145"/>
      <c r="AR235" s="219"/>
      <c r="AS235" s="97"/>
      <c r="AT235" s="165"/>
      <c r="AU235" s="220"/>
    </row>
    <row r="236" spans="1:47" ht="18.75" customHeight="1" x14ac:dyDescent="0.3">
      <c r="A236" s="45"/>
      <c r="B236" s="26"/>
      <c r="C236" s="18"/>
      <c r="D236" s="19"/>
      <c r="E236" s="20"/>
      <c r="F236" s="6"/>
      <c r="G236" s="45"/>
      <c r="H236" s="6"/>
      <c r="I236" s="45"/>
      <c r="J236" s="6"/>
      <c r="K236" s="6"/>
      <c r="L236" s="45"/>
      <c r="M236" s="6"/>
      <c r="N236" s="6"/>
      <c r="O236" s="6"/>
      <c r="P236" s="45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45"/>
      <c r="AB236" s="6"/>
      <c r="AC236" s="6"/>
      <c r="AD236" s="6"/>
      <c r="AE236" s="7"/>
      <c r="AF236" s="7"/>
      <c r="AG236" s="16"/>
      <c r="AH236" s="17"/>
      <c r="AI236" s="16"/>
      <c r="AJ236" s="5"/>
      <c r="AK236" s="13"/>
      <c r="AL236" s="95"/>
      <c r="AM236" s="131"/>
      <c r="AN236" s="104"/>
      <c r="AO236" s="218"/>
      <c r="AP236" s="144"/>
      <c r="AQ236" s="145"/>
      <c r="AR236" s="219"/>
      <c r="AS236" s="97"/>
      <c r="AT236" s="165"/>
      <c r="AU236" s="220"/>
    </row>
    <row r="237" spans="1:47" ht="18.75" customHeight="1" x14ac:dyDescent="0.3">
      <c r="A237" s="45"/>
      <c r="B237" s="26"/>
      <c r="C237" s="18"/>
      <c r="D237" s="19"/>
      <c r="E237" s="20"/>
      <c r="F237" s="6"/>
      <c r="G237" s="45"/>
      <c r="H237" s="6"/>
      <c r="I237" s="45"/>
      <c r="J237" s="6"/>
      <c r="K237" s="6"/>
      <c r="L237" s="45"/>
      <c r="M237" s="6"/>
      <c r="N237" s="6"/>
      <c r="O237" s="6"/>
      <c r="P237" s="45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45"/>
      <c r="AB237" s="6"/>
      <c r="AC237" s="6"/>
      <c r="AD237" s="6"/>
      <c r="AE237" s="7"/>
      <c r="AF237" s="7"/>
      <c r="AG237" s="16"/>
      <c r="AH237" s="17"/>
      <c r="AI237" s="16"/>
      <c r="AJ237" s="5"/>
      <c r="AK237" s="13"/>
      <c r="AL237" s="95"/>
      <c r="AM237" s="131"/>
      <c r="AN237" s="104"/>
      <c r="AO237" s="218"/>
      <c r="AP237" s="144"/>
      <c r="AQ237" s="145"/>
      <c r="AR237" s="219"/>
      <c r="AS237" s="97"/>
      <c r="AT237" s="165"/>
      <c r="AU237" s="220"/>
    </row>
    <row r="238" spans="1:47" ht="18.75" customHeight="1" x14ac:dyDescent="0.3">
      <c r="A238" s="45"/>
      <c r="B238" s="26"/>
      <c r="C238" s="18"/>
      <c r="D238" s="19"/>
      <c r="E238" s="20"/>
      <c r="F238" s="6"/>
      <c r="G238" s="45"/>
      <c r="H238" s="6"/>
      <c r="I238" s="45"/>
      <c r="J238" s="6"/>
      <c r="K238" s="6"/>
      <c r="L238" s="45"/>
      <c r="M238" s="6"/>
      <c r="N238" s="6"/>
      <c r="O238" s="6"/>
      <c r="P238" s="45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45"/>
      <c r="AB238" s="6"/>
      <c r="AC238" s="6"/>
      <c r="AD238" s="6"/>
      <c r="AE238" s="7"/>
      <c r="AF238" s="7"/>
      <c r="AG238" s="16"/>
      <c r="AH238" s="17"/>
      <c r="AI238" s="16"/>
      <c r="AJ238" s="5"/>
      <c r="AK238" s="13"/>
      <c r="AL238" s="95"/>
      <c r="AM238" s="131"/>
      <c r="AN238" s="104"/>
      <c r="AO238" s="218"/>
      <c r="AP238" s="144"/>
      <c r="AQ238" s="145"/>
      <c r="AR238" s="219"/>
      <c r="AS238" s="97"/>
      <c r="AT238" s="165"/>
      <c r="AU238" s="220"/>
    </row>
    <row r="239" spans="1:47" ht="18.75" customHeight="1" x14ac:dyDescent="0.3">
      <c r="A239" s="45"/>
      <c r="B239" s="26"/>
      <c r="C239" s="18"/>
      <c r="D239" s="19"/>
      <c r="E239" s="20"/>
      <c r="F239" s="6"/>
      <c r="G239" s="45"/>
      <c r="H239" s="6"/>
      <c r="I239" s="45"/>
      <c r="J239" s="6"/>
      <c r="K239" s="6"/>
      <c r="L239" s="45"/>
      <c r="M239" s="6"/>
      <c r="N239" s="6"/>
      <c r="O239" s="6"/>
      <c r="P239" s="45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45"/>
      <c r="AB239" s="6"/>
      <c r="AC239" s="6"/>
      <c r="AD239" s="6"/>
      <c r="AE239" s="7"/>
      <c r="AF239" s="7"/>
      <c r="AG239" s="16"/>
      <c r="AH239" s="17"/>
      <c r="AI239" s="16"/>
      <c r="AJ239" s="5"/>
      <c r="AK239" s="13"/>
      <c r="AL239" s="95"/>
      <c r="AM239" s="131"/>
      <c r="AN239" s="104"/>
      <c r="AO239" s="218"/>
      <c r="AP239" s="144"/>
      <c r="AQ239" s="145"/>
      <c r="AR239" s="219"/>
      <c r="AS239" s="97"/>
      <c r="AT239" s="165"/>
      <c r="AU239" s="220"/>
    </row>
    <row r="240" spans="1:47" ht="18.75" customHeight="1" x14ac:dyDescent="0.3">
      <c r="A240" s="45"/>
      <c r="B240" s="26"/>
      <c r="C240" s="18"/>
      <c r="D240" s="19"/>
      <c r="E240" s="20"/>
      <c r="F240" s="6"/>
      <c r="G240" s="45"/>
      <c r="H240" s="6"/>
      <c r="I240" s="45"/>
      <c r="J240" s="6"/>
      <c r="K240" s="6"/>
      <c r="L240" s="45"/>
      <c r="M240" s="6"/>
      <c r="N240" s="6"/>
      <c r="O240" s="6"/>
      <c r="P240" s="45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45"/>
      <c r="AB240" s="6"/>
      <c r="AC240" s="6"/>
      <c r="AD240" s="6"/>
      <c r="AE240" s="7"/>
      <c r="AF240" s="7"/>
      <c r="AG240" s="16"/>
      <c r="AH240" s="17"/>
      <c r="AI240" s="16"/>
      <c r="AJ240" s="5"/>
      <c r="AK240" s="13"/>
      <c r="AL240" s="95"/>
      <c r="AM240" s="131"/>
      <c r="AN240" s="104"/>
      <c r="AO240" s="218"/>
      <c r="AP240" s="144"/>
      <c r="AQ240" s="145"/>
      <c r="AR240" s="219"/>
      <c r="AS240" s="97"/>
      <c r="AT240" s="165"/>
      <c r="AU240" s="220"/>
    </row>
    <row r="241" spans="1:47" ht="18.75" customHeight="1" x14ac:dyDescent="0.3">
      <c r="A241" s="45"/>
      <c r="B241" s="26"/>
      <c r="C241" s="18"/>
      <c r="D241" s="19"/>
      <c r="E241" s="20"/>
      <c r="F241" s="6"/>
      <c r="G241" s="45"/>
      <c r="H241" s="6"/>
      <c r="I241" s="45"/>
      <c r="J241" s="6"/>
      <c r="K241" s="6"/>
      <c r="L241" s="45"/>
      <c r="M241" s="6"/>
      <c r="N241" s="6"/>
      <c r="O241" s="6"/>
      <c r="P241" s="45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45"/>
      <c r="AB241" s="6"/>
      <c r="AC241" s="6"/>
      <c r="AD241" s="6"/>
      <c r="AE241" s="7"/>
      <c r="AF241" s="7"/>
      <c r="AG241" s="16"/>
      <c r="AH241" s="17"/>
      <c r="AI241" s="16"/>
      <c r="AJ241" s="5"/>
      <c r="AK241" s="13"/>
      <c r="AL241" s="95"/>
      <c r="AM241" s="131"/>
      <c r="AN241" s="104"/>
      <c r="AO241" s="218"/>
      <c r="AP241" s="144"/>
      <c r="AQ241" s="145"/>
      <c r="AR241" s="219"/>
      <c r="AS241" s="97"/>
      <c r="AT241" s="165"/>
      <c r="AU241" s="220"/>
    </row>
    <row r="242" spans="1:47" ht="18.75" customHeight="1" x14ac:dyDescent="0.3">
      <c r="A242" s="45"/>
      <c r="B242" s="26"/>
      <c r="C242" s="18"/>
      <c r="D242" s="19"/>
      <c r="E242" s="20"/>
      <c r="F242" s="6"/>
      <c r="G242" s="45"/>
      <c r="H242" s="6"/>
      <c r="I242" s="45"/>
      <c r="J242" s="6"/>
      <c r="K242" s="6"/>
      <c r="L242" s="45"/>
      <c r="M242" s="6"/>
      <c r="N242" s="6"/>
      <c r="O242" s="6"/>
      <c r="P242" s="45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45"/>
      <c r="AB242" s="6"/>
      <c r="AC242" s="6"/>
      <c r="AD242" s="6"/>
      <c r="AE242" s="7"/>
      <c r="AF242" s="7"/>
      <c r="AG242" s="16"/>
      <c r="AH242" s="17"/>
      <c r="AI242" s="16"/>
      <c r="AJ242" s="5"/>
      <c r="AK242" s="13"/>
      <c r="AL242" s="95"/>
      <c r="AM242" s="131"/>
      <c r="AN242" s="104"/>
      <c r="AO242" s="218"/>
      <c r="AP242" s="144"/>
      <c r="AQ242" s="145"/>
      <c r="AR242" s="219"/>
      <c r="AS242" s="97"/>
      <c r="AT242" s="165"/>
      <c r="AU242" s="220"/>
    </row>
    <row r="243" spans="1:47" ht="18.75" customHeight="1" x14ac:dyDescent="0.3">
      <c r="A243" s="45"/>
      <c r="B243" s="26"/>
      <c r="C243" s="18"/>
      <c r="D243" s="19"/>
      <c r="E243" s="20"/>
      <c r="F243" s="6"/>
      <c r="G243" s="45"/>
      <c r="H243" s="6"/>
      <c r="I243" s="45"/>
      <c r="J243" s="6"/>
      <c r="K243" s="6"/>
      <c r="L243" s="45"/>
      <c r="M243" s="6"/>
      <c r="N243" s="6"/>
      <c r="O243" s="6"/>
      <c r="P243" s="45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45"/>
      <c r="AB243" s="6"/>
      <c r="AC243" s="6"/>
      <c r="AD243" s="6"/>
      <c r="AE243" s="7"/>
      <c r="AF243" s="7"/>
      <c r="AG243" s="16"/>
      <c r="AH243" s="17"/>
      <c r="AI243" s="16"/>
      <c r="AJ243" s="5"/>
      <c r="AK243" s="13"/>
      <c r="AL243" s="95"/>
      <c r="AM243" s="131"/>
      <c r="AN243" s="104"/>
      <c r="AO243" s="218"/>
      <c r="AP243" s="144"/>
      <c r="AQ243" s="145"/>
      <c r="AR243" s="219"/>
      <c r="AS243" s="97"/>
      <c r="AT243" s="165"/>
      <c r="AU243" s="220"/>
    </row>
    <row r="244" spans="1:47" ht="18.75" customHeight="1" x14ac:dyDescent="0.3">
      <c r="A244" s="45"/>
      <c r="B244" s="26"/>
      <c r="C244" s="18"/>
      <c r="D244" s="19"/>
      <c r="E244" s="20"/>
      <c r="F244" s="6"/>
      <c r="G244" s="45"/>
      <c r="H244" s="6"/>
      <c r="I244" s="45"/>
      <c r="J244" s="6"/>
      <c r="K244" s="6"/>
      <c r="L244" s="45"/>
      <c r="M244" s="6"/>
      <c r="N244" s="6"/>
      <c r="O244" s="6"/>
      <c r="P244" s="45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45"/>
      <c r="AB244" s="6"/>
      <c r="AC244" s="6"/>
      <c r="AD244" s="6"/>
      <c r="AE244" s="7"/>
      <c r="AF244" s="7"/>
      <c r="AG244" s="16"/>
      <c r="AH244" s="17"/>
      <c r="AI244" s="16"/>
      <c r="AJ244" s="5"/>
      <c r="AK244" s="13"/>
      <c r="AL244" s="95"/>
      <c r="AM244" s="131"/>
      <c r="AN244" s="104"/>
      <c r="AO244" s="218"/>
      <c r="AP244" s="144"/>
      <c r="AQ244" s="145"/>
      <c r="AR244" s="219"/>
      <c r="AS244" s="97"/>
      <c r="AT244" s="165"/>
      <c r="AU244" s="220"/>
    </row>
    <row r="245" spans="1:47" ht="18.75" customHeight="1" x14ac:dyDescent="0.3">
      <c r="A245" s="45"/>
      <c r="B245" s="26"/>
      <c r="C245" s="18"/>
      <c r="D245" s="19"/>
      <c r="E245" s="20"/>
      <c r="F245" s="6"/>
      <c r="G245" s="45"/>
      <c r="H245" s="6"/>
      <c r="I245" s="45"/>
      <c r="J245" s="6"/>
      <c r="K245" s="6"/>
      <c r="L245" s="45"/>
      <c r="M245" s="6"/>
      <c r="N245" s="6"/>
      <c r="O245" s="6"/>
      <c r="P245" s="45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45"/>
      <c r="AB245" s="6"/>
      <c r="AC245" s="6"/>
      <c r="AD245" s="6"/>
      <c r="AE245" s="7"/>
      <c r="AF245" s="7"/>
      <c r="AG245" s="16"/>
      <c r="AH245" s="17"/>
      <c r="AI245" s="16"/>
      <c r="AJ245" s="5"/>
      <c r="AK245" s="13"/>
      <c r="AL245" s="95"/>
      <c r="AM245" s="131"/>
      <c r="AN245" s="104"/>
      <c r="AO245" s="218"/>
      <c r="AP245" s="144"/>
      <c r="AQ245" s="145"/>
      <c r="AR245" s="219"/>
      <c r="AS245" s="97"/>
      <c r="AT245" s="165"/>
      <c r="AU245" s="220"/>
    </row>
    <row r="246" spans="1:47" ht="18.75" customHeight="1" x14ac:dyDescent="0.3">
      <c r="A246" s="45"/>
      <c r="B246" s="26"/>
      <c r="C246" s="18"/>
      <c r="D246" s="19"/>
      <c r="E246" s="20"/>
      <c r="F246" s="6"/>
      <c r="G246" s="45"/>
      <c r="H246" s="6"/>
      <c r="I246" s="45"/>
      <c r="J246" s="6"/>
      <c r="K246" s="6"/>
      <c r="L246" s="45"/>
      <c r="M246" s="6"/>
      <c r="N246" s="6"/>
      <c r="O246" s="6"/>
      <c r="P246" s="45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45"/>
      <c r="AB246" s="6"/>
      <c r="AC246" s="6"/>
      <c r="AD246" s="6"/>
      <c r="AE246" s="7"/>
      <c r="AF246" s="7"/>
      <c r="AG246" s="16"/>
      <c r="AH246" s="17"/>
      <c r="AI246" s="16"/>
      <c r="AJ246" s="5"/>
      <c r="AK246" s="13"/>
      <c r="AL246" s="95"/>
      <c r="AM246" s="131"/>
      <c r="AN246" s="104"/>
      <c r="AO246" s="218"/>
      <c r="AP246" s="144"/>
      <c r="AQ246" s="145"/>
      <c r="AR246" s="219"/>
      <c r="AS246" s="97"/>
      <c r="AT246" s="165"/>
      <c r="AU246" s="220"/>
    </row>
    <row r="247" spans="1:47" ht="18.75" customHeight="1" x14ac:dyDescent="0.3">
      <c r="A247" s="45"/>
      <c r="B247" s="26"/>
      <c r="C247" s="18"/>
      <c r="D247" s="19"/>
      <c r="E247" s="20"/>
      <c r="F247" s="6"/>
      <c r="G247" s="45"/>
      <c r="H247" s="6"/>
      <c r="I247" s="45"/>
      <c r="J247" s="6"/>
      <c r="K247" s="6"/>
      <c r="L247" s="45"/>
      <c r="M247" s="6"/>
      <c r="N247" s="6"/>
      <c r="O247" s="6"/>
      <c r="P247" s="45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45"/>
      <c r="AB247" s="6"/>
      <c r="AC247" s="6"/>
      <c r="AD247" s="6"/>
      <c r="AE247" s="7"/>
      <c r="AF247" s="7"/>
      <c r="AG247" s="16"/>
      <c r="AH247" s="17"/>
      <c r="AI247" s="16"/>
      <c r="AJ247" s="5"/>
      <c r="AK247" s="13"/>
      <c r="AL247" s="95"/>
      <c r="AM247" s="131"/>
      <c r="AN247" s="104"/>
      <c r="AO247" s="218"/>
      <c r="AP247" s="144"/>
      <c r="AQ247" s="145"/>
      <c r="AR247" s="219"/>
      <c r="AS247" s="97"/>
      <c r="AT247" s="165"/>
      <c r="AU247" s="220"/>
    </row>
    <row r="248" spans="1:47" ht="18.75" customHeight="1" x14ac:dyDescent="0.3">
      <c r="A248" s="45"/>
      <c r="B248" s="26"/>
      <c r="C248" s="18"/>
      <c r="D248" s="19"/>
      <c r="E248" s="20"/>
      <c r="F248" s="6"/>
      <c r="G248" s="45"/>
      <c r="H248" s="6"/>
      <c r="I248" s="45"/>
      <c r="J248" s="6"/>
      <c r="K248" s="6"/>
      <c r="L248" s="45"/>
      <c r="M248" s="6"/>
      <c r="N248" s="6"/>
      <c r="O248" s="6"/>
      <c r="P248" s="45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45"/>
      <c r="AB248" s="6"/>
      <c r="AC248" s="6"/>
      <c r="AD248" s="6"/>
      <c r="AE248" s="7"/>
      <c r="AF248" s="7"/>
      <c r="AG248" s="16"/>
      <c r="AH248" s="17"/>
      <c r="AI248" s="16"/>
      <c r="AJ248" s="5"/>
      <c r="AK248" s="13"/>
      <c r="AL248" s="95"/>
      <c r="AM248" s="131"/>
      <c r="AN248" s="104"/>
      <c r="AO248" s="218"/>
      <c r="AP248" s="144"/>
      <c r="AQ248" s="145"/>
      <c r="AR248" s="219"/>
      <c r="AS248" s="97"/>
      <c r="AT248" s="165"/>
      <c r="AU248" s="220"/>
    </row>
    <row r="249" spans="1:47" ht="18.75" customHeight="1" x14ac:dyDescent="0.3">
      <c r="A249" s="45"/>
      <c r="B249" s="26"/>
      <c r="C249" s="18"/>
      <c r="D249" s="19"/>
      <c r="E249" s="20"/>
      <c r="F249" s="6"/>
      <c r="G249" s="45"/>
      <c r="H249" s="6"/>
      <c r="I249" s="45"/>
      <c r="J249" s="6"/>
      <c r="K249" s="6"/>
      <c r="L249" s="45"/>
      <c r="M249" s="6"/>
      <c r="N249" s="6"/>
      <c r="O249" s="6"/>
      <c r="P249" s="45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45"/>
      <c r="AB249" s="6"/>
      <c r="AC249" s="6"/>
      <c r="AD249" s="6"/>
      <c r="AE249" s="7"/>
      <c r="AF249" s="7"/>
      <c r="AG249" s="16"/>
      <c r="AH249" s="17"/>
      <c r="AI249" s="16"/>
      <c r="AJ249" s="5"/>
      <c r="AK249" s="13"/>
      <c r="AL249" s="95"/>
      <c r="AM249" s="131"/>
      <c r="AN249" s="104"/>
      <c r="AO249" s="218"/>
      <c r="AP249" s="144"/>
      <c r="AQ249" s="145"/>
      <c r="AR249" s="219"/>
      <c r="AS249" s="97"/>
      <c r="AT249" s="165"/>
      <c r="AU249" s="220"/>
    </row>
    <row r="250" spans="1:47" ht="18.75" customHeight="1" x14ac:dyDescent="0.3">
      <c r="A250" s="45"/>
      <c r="B250" s="26"/>
      <c r="C250" s="18"/>
      <c r="D250" s="19"/>
      <c r="E250" s="20"/>
      <c r="F250" s="6"/>
      <c r="G250" s="45"/>
      <c r="H250" s="6"/>
      <c r="I250" s="45"/>
      <c r="J250" s="6"/>
      <c r="K250" s="6"/>
      <c r="L250" s="45"/>
      <c r="M250" s="6"/>
      <c r="N250" s="6"/>
      <c r="O250" s="6"/>
      <c r="P250" s="45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45"/>
      <c r="AB250" s="6"/>
      <c r="AC250" s="6"/>
      <c r="AD250" s="6"/>
      <c r="AE250" s="7"/>
      <c r="AF250" s="7"/>
      <c r="AG250" s="16"/>
      <c r="AH250" s="17"/>
      <c r="AI250" s="16"/>
      <c r="AJ250" s="5"/>
      <c r="AK250" s="13"/>
      <c r="AL250" s="95"/>
      <c r="AM250" s="131"/>
      <c r="AN250" s="104"/>
      <c r="AO250" s="218"/>
      <c r="AP250" s="144"/>
      <c r="AQ250" s="145"/>
      <c r="AR250" s="219"/>
      <c r="AS250" s="97"/>
      <c r="AT250" s="165"/>
      <c r="AU250" s="220"/>
    </row>
    <row r="251" spans="1:47" ht="18.75" customHeight="1" x14ac:dyDescent="0.3">
      <c r="A251" s="45"/>
      <c r="B251" s="26"/>
      <c r="C251" s="18"/>
      <c r="D251" s="19"/>
      <c r="E251" s="20"/>
      <c r="F251" s="6"/>
      <c r="G251" s="45"/>
      <c r="H251" s="6"/>
      <c r="I251" s="45"/>
      <c r="J251" s="6"/>
      <c r="K251" s="6"/>
      <c r="L251" s="45"/>
      <c r="M251" s="6"/>
      <c r="N251" s="6"/>
      <c r="O251" s="6"/>
      <c r="P251" s="45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45"/>
      <c r="AB251" s="6"/>
      <c r="AC251" s="6"/>
      <c r="AD251" s="6"/>
      <c r="AE251" s="7"/>
      <c r="AF251" s="7"/>
      <c r="AG251" s="16"/>
      <c r="AH251" s="17"/>
      <c r="AI251" s="16"/>
      <c r="AJ251" s="5"/>
      <c r="AK251" s="13"/>
      <c r="AL251" s="95"/>
      <c r="AM251" s="131"/>
      <c r="AN251" s="104"/>
      <c r="AO251" s="218"/>
      <c r="AP251" s="144"/>
      <c r="AQ251" s="145"/>
      <c r="AR251" s="219"/>
      <c r="AS251" s="97"/>
      <c r="AT251" s="165"/>
      <c r="AU251" s="220"/>
    </row>
    <row r="252" spans="1:47" ht="18.75" customHeight="1" x14ac:dyDescent="0.3">
      <c r="A252" s="45"/>
      <c r="B252" s="26"/>
      <c r="C252" s="18"/>
      <c r="D252" s="19"/>
      <c r="E252" s="20"/>
      <c r="F252" s="6"/>
      <c r="G252" s="45"/>
      <c r="H252" s="6"/>
      <c r="I252" s="45"/>
      <c r="J252" s="6"/>
      <c r="K252" s="6"/>
      <c r="L252" s="45"/>
      <c r="M252" s="6"/>
      <c r="N252" s="6"/>
      <c r="O252" s="6"/>
      <c r="P252" s="45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45"/>
      <c r="AB252" s="6"/>
      <c r="AC252" s="6"/>
      <c r="AD252" s="6"/>
      <c r="AE252" s="7"/>
      <c r="AF252" s="7"/>
      <c r="AG252" s="16"/>
      <c r="AH252" s="17"/>
      <c r="AI252" s="16"/>
      <c r="AJ252" s="5"/>
      <c r="AK252" s="13"/>
      <c r="AL252" s="95"/>
      <c r="AM252" s="131"/>
      <c r="AN252" s="104"/>
      <c r="AO252" s="218"/>
      <c r="AP252" s="144"/>
      <c r="AQ252" s="145"/>
      <c r="AR252" s="219"/>
      <c r="AS252" s="97"/>
      <c r="AT252" s="165"/>
      <c r="AU252" s="220"/>
    </row>
    <row r="253" spans="1:47" ht="18.75" customHeight="1" x14ac:dyDescent="0.3">
      <c r="A253" s="45"/>
      <c r="B253" s="26"/>
      <c r="C253" s="18"/>
      <c r="D253" s="19"/>
      <c r="E253" s="20"/>
      <c r="F253" s="6"/>
      <c r="G253" s="45"/>
      <c r="H253" s="6"/>
      <c r="I253" s="45"/>
      <c r="J253" s="6"/>
      <c r="K253" s="6"/>
      <c r="L253" s="45"/>
      <c r="M253" s="6"/>
      <c r="N253" s="6"/>
      <c r="O253" s="6"/>
      <c r="P253" s="45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45"/>
      <c r="AB253" s="6"/>
      <c r="AC253" s="6"/>
      <c r="AD253" s="6"/>
      <c r="AE253" s="7"/>
      <c r="AF253" s="7"/>
      <c r="AG253" s="16"/>
      <c r="AH253" s="17"/>
      <c r="AI253" s="16"/>
      <c r="AJ253" s="5"/>
      <c r="AK253" s="13"/>
      <c r="AL253" s="95"/>
      <c r="AM253" s="131"/>
      <c r="AN253" s="104"/>
      <c r="AO253" s="218"/>
      <c r="AP253" s="144"/>
      <c r="AQ253" s="145"/>
      <c r="AR253" s="219"/>
      <c r="AS253" s="97"/>
      <c r="AT253" s="165"/>
      <c r="AU253" s="220"/>
    </row>
    <row r="254" spans="1:47" ht="18.75" customHeight="1" x14ac:dyDescent="0.3">
      <c r="A254" s="45"/>
      <c r="B254" s="26"/>
      <c r="C254" s="18"/>
      <c r="D254" s="19"/>
      <c r="E254" s="20"/>
      <c r="F254" s="6"/>
      <c r="G254" s="45"/>
      <c r="H254" s="6"/>
      <c r="I254" s="45"/>
      <c r="J254" s="6"/>
      <c r="K254" s="6"/>
      <c r="L254" s="45"/>
      <c r="M254" s="6"/>
      <c r="N254" s="6"/>
      <c r="O254" s="6"/>
      <c r="P254" s="45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45"/>
      <c r="AB254" s="6"/>
      <c r="AC254" s="6"/>
      <c r="AD254" s="6"/>
      <c r="AE254" s="7"/>
      <c r="AF254" s="7"/>
      <c r="AG254" s="16"/>
      <c r="AH254" s="17"/>
      <c r="AI254" s="16"/>
      <c r="AJ254" s="5"/>
      <c r="AK254" s="13"/>
      <c r="AL254" s="95"/>
      <c r="AM254" s="131"/>
      <c r="AN254" s="104"/>
      <c r="AO254" s="218"/>
      <c r="AP254" s="144"/>
      <c r="AQ254" s="145"/>
      <c r="AR254" s="219"/>
      <c r="AS254" s="97"/>
      <c r="AT254" s="165"/>
      <c r="AU254" s="220"/>
    </row>
    <row r="255" spans="1:47" ht="18.75" customHeight="1" x14ac:dyDescent="0.3">
      <c r="A255" s="45"/>
      <c r="B255" s="26"/>
      <c r="C255" s="18"/>
      <c r="D255" s="19"/>
      <c r="E255" s="20"/>
      <c r="F255" s="6"/>
      <c r="G255" s="45"/>
      <c r="H255" s="6"/>
      <c r="I255" s="45"/>
      <c r="J255" s="6"/>
      <c r="K255" s="6"/>
      <c r="L255" s="45"/>
      <c r="M255" s="6"/>
      <c r="N255" s="6"/>
      <c r="O255" s="6"/>
      <c r="P255" s="45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45"/>
      <c r="AB255" s="6"/>
      <c r="AC255" s="6"/>
      <c r="AD255" s="6"/>
      <c r="AE255" s="7"/>
      <c r="AF255" s="7"/>
      <c r="AG255" s="16"/>
      <c r="AH255" s="17"/>
      <c r="AI255" s="16"/>
      <c r="AJ255" s="5"/>
      <c r="AK255" s="13"/>
      <c r="AL255" s="95"/>
      <c r="AM255" s="131"/>
      <c r="AN255" s="104"/>
      <c r="AO255" s="218"/>
      <c r="AP255" s="144"/>
      <c r="AQ255" s="145"/>
      <c r="AR255" s="219"/>
      <c r="AS255" s="97"/>
      <c r="AT255" s="165"/>
      <c r="AU255" s="220"/>
    </row>
    <row r="256" spans="1:47" ht="18.75" customHeight="1" x14ac:dyDescent="0.3">
      <c r="A256" s="45"/>
      <c r="B256" s="26"/>
      <c r="C256" s="18"/>
      <c r="D256" s="19"/>
      <c r="E256" s="20"/>
      <c r="F256" s="6"/>
      <c r="G256" s="45"/>
      <c r="H256" s="6"/>
      <c r="I256" s="45"/>
      <c r="J256" s="6"/>
      <c r="K256" s="6"/>
      <c r="L256" s="45"/>
      <c r="M256" s="6"/>
      <c r="N256" s="6"/>
      <c r="O256" s="6"/>
      <c r="P256" s="45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45"/>
      <c r="AB256" s="6"/>
      <c r="AC256" s="6"/>
      <c r="AD256" s="6"/>
      <c r="AE256" s="7"/>
      <c r="AF256" s="7"/>
      <c r="AG256" s="16"/>
      <c r="AH256" s="17"/>
      <c r="AI256" s="16"/>
      <c r="AJ256" s="5"/>
      <c r="AK256" s="13"/>
      <c r="AL256" s="95"/>
      <c r="AM256" s="131"/>
      <c r="AN256" s="104"/>
      <c r="AO256" s="218"/>
      <c r="AP256" s="144"/>
      <c r="AQ256" s="145"/>
      <c r="AR256" s="219"/>
      <c r="AS256" s="97"/>
      <c r="AT256" s="165"/>
      <c r="AU256" s="220"/>
    </row>
    <row r="257" spans="1:47" ht="18.75" customHeight="1" x14ac:dyDescent="0.3">
      <c r="A257" s="45"/>
      <c r="B257" s="26"/>
      <c r="C257" s="18"/>
      <c r="D257" s="19"/>
      <c r="E257" s="20"/>
      <c r="F257" s="6"/>
      <c r="G257" s="45"/>
      <c r="H257" s="6"/>
      <c r="I257" s="45"/>
      <c r="J257" s="6"/>
      <c r="K257" s="6"/>
      <c r="L257" s="45"/>
      <c r="M257" s="6"/>
      <c r="N257" s="6"/>
      <c r="O257" s="6"/>
      <c r="P257" s="45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45"/>
      <c r="AB257" s="6"/>
      <c r="AC257" s="6"/>
      <c r="AD257" s="6"/>
      <c r="AE257" s="7"/>
      <c r="AF257" s="7"/>
      <c r="AG257" s="16"/>
      <c r="AH257" s="17"/>
      <c r="AI257" s="16"/>
      <c r="AJ257" s="5"/>
      <c r="AK257" s="13"/>
      <c r="AL257" s="95"/>
      <c r="AM257" s="131"/>
      <c r="AN257" s="104"/>
      <c r="AO257" s="218"/>
      <c r="AP257" s="144"/>
      <c r="AQ257" s="145"/>
      <c r="AR257" s="219"/>
      <c r="AS257" s="97"/>
      <c r="AT257" s="165"/>
      <c r="AU257" s="220"/>
    </row>
    <row r="258" spans="1:47" ht="18.75" customHeight="1" x14ac:dyDescent="0.3">
      <c r="A258" s="45"/>
      <c r="B258" s="26"/>
      <c r="C258" s="18"/>
      <c r="D258" s="19"/>
      <c r="E258" s="20"/>
      <c r="F258" s="6"/>
      <c r="G258" s="45"/>
      <c r="H258" s="6"/>
      <c r="I258" s="45"/>
      <c r="J258" s="6"/>
      <c r="K258" s="6"/>
      <c r="L258" s="45"/>
      <c r="M258" s="6"/>
      <c r="N258" s="6"/>
      <c r="O258" s="6"/>
      <c r="P258" s="45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45"/>
      <c r="AB258" s="6"/>
      <c r="AC258" s="6"/>
      <c r="AD258" s="6"/>
      <c r="AE258" s="7"/>
      <c r="AF258" s="7"/>
      <c r="AG258" s="16"/>
      <c r="AH258" s="17"/>
      <c r="AI258" s="16"/>
      <c r="AJ258" s="5"/>
      <c r="AK258" s="13"/>
      <c r="AL258" s="95"/>
      <c r="AM258" s="131"/>
      <c r="AN258" s="104"/>
      <c r="AO258" s="218"/>
      <c r="AP258" s="144"/>
      <c r="AQ258" s="145"/>
      <c r="AR258" s="219"/>
      <c r="AS258" s="97"/>
      <c r="AT258" s="165"/>
      <c r="AU258" s="220"/>
    </row>
    <row r="259" spans="1:47" ht="18.75" customHeight="1" x14ac:dyDescent="0.3">
      <c r="A259" s="45"/>
      <c r="B259" s="26"/>
      <c r="C259" s="18"/>
      <c r="D259" s="19"/>
      <c r="E259" s="20"/>
      <c r="F259" s="6"/>
      <c r="G259" s="45"/>
      <c r="H259" s="6"/>
      <c r="I259" s="45"/>
      <c r="J259" s="6"/>
      <c r="K259" s="6"/>
      <c r="L259" s="45"/>
      <c r="M259" s="6"/>
      <c r="N259" s="6"/>
      <c r="O259" s="6"/>
      <c r="P259" s="45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45"/>
      <c r="AB259" s="6"/>
      <c r="AC259" s="6"/>
      <c r="AD259" s="6"/>
      <c r="AE259" s="7"/>
      <c r="AF259" s="7"/>
      <c r="AG259" s="16"/>
      <c r="AH259" s="17"/>
      <c r="AI259" s="16"/>
      <c r="AJ259" s="5"/>
      <c r="AK259" s="13"/>
      <c r="AL259" s="95"/>
      <c r="AM259" s="131"/>
      <c r="AN259" s="104"/>
      <c r="AO259" s="218"/>
      <c r="AP259" s="144"/>
      <c r="AQ259" s="145"/>
      <c r="AR259" s="219"/>
      <c r="AS259" s="97"/>
      <c r="AT259" s="165"/>
      <c r="AU259" s="220"/>
    </row>
    <row r="260" spans="1:47" ht="18.75" customHeight="1" x14ac:dyDescent="0.3">
      <c r="A260" s="45"/>
      <c r="B260" s="26"/>
      <c r="C260" s="18"/>
      <c r="D260" s="19"/>
      <c r="E260" s="20"/>
      <c r="F260" s="6"/>
      <c r="G260" s="45"/>
      <c r="H260" s="6"/>
      <c r="I260" s="45"/>
      <c r="J260" s="6"/>
      <c r="K260" s="6"/>
      <c r="L260" s="45"/>
      <c r="M260" s="6"/>
      <c r="N260" s="6"/>
      <c r="O260" s="6"/>
      <c r="P260" s="45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45"/>
      <c r="AB260" s="6"/>
      <c r="AC260" s="6"/>
      <c r="AD260" s="6"/>
      <c r="AE260" s="7"/>
      <c r="AF260" s="7"/>
      <c r="AG260" s="16"/>
      <c r="AH260" s="17"/>
      <c r="AI260" s="16"/>
      <c r="AJ260" s="5"/>
      <c r="AK260" s="13"/>
      <c r="AL260" s="95"/>
      <c r="AM260" s="131"/>
      <c r="AN260" s="104"/>
      <c r="AO260" s="218"/>
      <c r="AP260" s="144"/>
      <c r="AQ260" s="145"/>
      <c r="AR260" s="219"/>
      <c r="AS260" s="97"/>
      <c r="AT260" s="165"/>
      <c r="AU260" s="220"/>
    </row>
    <row r="261" spans="1:47" ht="18.75" customHeight="1" x14ac:dyDescent="0.3">
      <c r="A261" s="45"/>
      <c r="B261" s="26"/>
      <c r="C261" s="18"/>
      <c r="D261" s="19"/>
      <c r="E261" s="20"/>
      <c r="F261" s="6"/>
      <c r="G261" s="45"/>
      <c r="H261" s="6"/>
      <c r="I261" s="45"/>
      <c r="J261" s="6"/>
      <c r="K261" s="6"/>
      <c r="L261" s="45"/>
      <c r="M261" s="6"/>
      <c r="N261" s="6"/>
      <c r="O261" s="6"/>
      <c r="P261" s="45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45"/>
      <c r="AB261" s="6"/>
      <c r="AC261" s="6"/>
      <c r="AD261" s="6"/>
      <c r="AE261" s="7"/>
      <c r="AF261" s="7"/>
      <c r="AG261" s="16"/>
      <c r="AH261" s="17"/>
      <c r="AI261" s="16"/>
      <c r="AJ261" s="5"/>
      <c r="AK261" s="13"/>
      <c r="AL261" s="95"/>
      <c r="AM261" s="131"/>
      <c r="AN261" s="104"/>
      <c r="AO261" s="218"/>
      <c r="AP261" s="144"/>
      <c r="AQ261" s="145"/>
      <c r="AR261" s="219"/>
      <c r="AS261" s="97"/>
      <c r="AT261" s="165"/>
      <c r="AU261" s="220"/>
    </row>
    <row r="262" spans="1:47" ht="18.75" customHeight="1" x14ac:dyDescent="0.3">
      <c r="A262" s="45"/>
      <c r="B262" s="26"/>
      <c r="C262" s="18"/>
      <c r="D262" s="19"/>
      <c r="E262" s="20"/>
      <c r="F262" s="6"/>
      <c r="G262" s="45"/>
      <c r="H262" s="6"/>
      <c r="I262" s="45"/>
      <c r="J262" s="6"/>
      <c r="K262" s="6"/>
      <c r="L262" s="45"/>
      <c r="M262" s="6"/>
      <c r="N262" s="6"/>
      <c r="O262" s="6"/>
      <c r="P262" s="45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45"/>
      <c r="AB262" s="6"/>
      <c r="AC262" s="6"/>
      <c r="AD262" s="6"/>
      <c r="AE262" s="7"/>
      <c r="AF262" s="7"/>
      <c r="AG262" s="16"/>
      <c r="AH262" s="17"/>
      <c r="AI262" s="16"/>
      <c r="AJ262" s="5"/>
      <c r="AK262" s="13"/>
      <c r="AL262" s="95"/>
      <c r="AM262" s="131"/>
      <c r="AN262" s="104"/>
      <c r="AO262" s="218"/>
      <c r="AP262" s="144"/>
      <c r="AQ262" s="145"/>
      <c r="AR262" s="219"/>
      <c r="AS262" s="97"/>
      <c r="AT262" s="165"/>
      <c r="AU262" s="220"/>
    </row>
    <row r="263" spans="1:47" ht="18.75" customHeight="1" x14ac:dyDescent="0.3">
      <c r="A263" s="45"/>
      <c r="B263" s="26"/>
      <c r="C263" s="18"/>
      <c r="D263" s="19"/>
      <c r="E263" s="20"/>
      <c r="F263" s="6"/>
      <c r="G263" s="45"/>
      <c r="H263" s="6"/>
      <c r="I263" s="45"/>
      <c r="J263" s="6"/>
      <c r="K263" s="6"/>
      <c r="L263" s="45"/>
      <c r="M263" s="6"/>
      <c r="N263" s="6"/>
      <c r="O263" s="6"/>
      <c r="P263" s="45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45"/>
      <c r="AB263" s="6"/>
      <c r="AC263" s="6"/>
      <c r="AD263" s="6"/>
      <c r="AE263" s="7"/>
      <c r="AF263" s="7"/>
      <c r="AG263" s="16"/>
      <c r="AH263" s="17"/>
      <c r="AI263" s="16"/>
      <c r="AJ263" s="5"/>
      <c r="AK263" s="13"/>
      <c r="AL263" s="95"/>
      <c r="AM263" s="131"/>
      <c r="AN263" s="104"/>
      <c r="AO263" s="218"/>
      <c r="AP263" s="144"/>
      <c r="AQ263" s="145"/>
      <c r="AR263" s="219"/>
      <c r="AS263" s="97"/>
      <c r="AT263" s="165"/>
      <c r="AU263" s="220"/>
    </row>
    <row r="264" spans="1:47" ht="18.75" customHeight="1" x14ac:dyDescent="0.3">
      <c r="A264" s="45"/>
      <c r="B264" s="26"/>
      <c r="C264" s="18"/>
      <c r="D264" s="19"/>
      <c r="E264" s="20"/>
      <c r="F264" s="6"/>
      <c r="G264" s="45"/>
      <c r="H264" s="6"/>
      <c r="I264" s="45"/>
      <c r="J264" s="6"/>
      <c r="K264" s="6"/>
      <c r="L264" s="45"/>
      <c r="M264" s="6"/>
      <c r="N264" s="6"/>
      <c r="O264" s="6"/>
      <c r="P264" s="45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45"/>
      <c r="AB264" s="6"/>
      <c r="AC264" s="6"/>
      <c r="AD264" s="6"/>
      <c r="AE264" s="7"/>
      <c r="AF264" s="7"/>
      <c r="AG264" s="16"/>
      <c r="AH264" s="17"/>
      <c r="AI264" s="16"/>
      <c r="AJ264" s="5"/>
      <c r="AK264" s="13"/>
      <c r="AL264" s="95"/>
      <c r="AM264" s="131"/>
      <c r="AN264" s="104"/>
      <c r="AO264" s="218"/>
      <c r="AP264" s="144"/>
      <c r="AQ264" s="145"/>
      <c r="AR264" s="219"/>
      <c r="AS264" s="97"/>
      <c r="AT264" s="165"/>
      <c r="AU264" s="220"/>
    </row>
    <row r="265" spans="1:47" ht="18.75" customHeight="1" x14ac:dyDescent="0.3">
      <c r="A265" s="45"/>
      <c r="B265" s="26"/>
      <c r="C265" s="18"/>
      <c r="D265" s="19"/>
      <c r="E265" s="20"/>
      <c r="F265" s="6"/>
      <c r="G265" s="45"/>
      <c r="H265" s="6"/>
      <c r="I265" s="45"/>
      <c r="J265" s="6"/>
      <c r="K265" s="6"/>
      <c r="L265" s="45"/>
      <c r="M265" s="6"/>
      <c r="N265" s="6"/>
      <c r="O265" s="6"/>
      <c r="P265" s="45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45"/>
      <c r="AB265" s="6"/>
      <c r="AC265" s="6"/>
      <c r="AD265" s="6"/>
      <c r="AE265" s="7"/>
      <c r="AF265" s="7"/>
      <c r="AG265" s="16"/>
      <c r="AH265" s="17"/>
      <c r="AI265" s="16"/>
      <c r="AJ265" s="5"/>
      <c r="AK265" s="13"/>
      <c r="AL265" s="95"/>
      <c r="AM265" s="131"/>
      <c r="AN265" s="104"/>
      <c r="AO265" s="218"/>
      <c r="AP265" s="144"/>
      <c r="AQ265" s="145"/>
      <c r="AR265" s="219"/>
      <c r="AS265" s="97"/>
      <c r="AT265" s="165"/>
      <c r="AU265" s="220"/>
    </row>
    <row r="266" spans="1:47" ht="18.75" customHeight="1" x14ac:dyDescent="0.3">
      <c r="A266" s="45"/>
      <c r="B266" s="26"/>
      <c r="C266" s="18"/>
      <c r="D266" s="19"/>
      <c r="E266" s="20"/>
      <c r="F266" s="6"/>
      <c r="G266" s="45"/>
      <c r="H266" s="6"/>
      <c r="I266" s="45"/>
      <c r="J266" s="6"/>
      <c r="K266" s="6"/>
      <c r="L266" s="45"/>
      <c r="M266" s="6"/>
      <c r="N266" s="6"/>
      <c r="O266" s="6"/>
      <c r="P266" s="45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45"/>
      <c r="AB266" s="6"/>
      <c r="AC266" s="6"/>
      <c r="AD266" s="6"/>
      <c r="AE266" s="7"/>
      <c r="AF266" s="7"/>
      <c r="AG266" s="16"/>
      <c r="AH266" s="17"/>
      <c r="AI266" s="16"/>
      <c r="AJ266" s="5"/>
      <c r="AK266" s="13"/>
      <c r="AL266" s="95"/>
      <c r="AM266" s="131"/>
      <c r="AN266" s="104"/>
      <c r="AO266" s="218"/>
      <c r="AP266" s="144"/>
      <c r="AQ266" s="145"/>
      <c r="AR266" s="219"/>
      <c r="AS266" s="97"/>
      <c r="AT266" s="165"/>
      <c r="AU266" s="220"/>
    </row>
    <row r="267" spans="1:47" ht="18.75" customHeight="1" x14ac:dyDescent="0.3">
      <c r="A267" s="45"/>
      <c r="B267" s="26"/>
      <c r="C267" s="18"/>
      <c r="D267" s="19"/>
      <c r="E267" s="20"/>
      <c r="F267" s="6"/>
      <c r="G267" s="45"/>
      <c r="H267" s="6"/>
      <c r="I267" s="45"/>
      <c r="J267" s="6"/>
      <c r="K267" s="6"/>
      <c r="L267" s="45"/>
      <c r="M267" s="6"/>
      <c r="N267" s="6"/>
      <c r="O267" s="6"/>
      <c r="P267" s="45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45"/>
      <c r="AB267" s="6"/>
      <c r="AC267" s="6"/>
      <c r="AD267" s="6"/>
      <c r="AE267" s="7"/>
      <c r="AF267" s="7"/>
      <c r="AG267" s="16"/>
      <c r="AH267" s="17"/>
      <c r="AI267" s="16"/>
      <c r="AJ267" s="5"/>
      <c r="AK267" s="13"/>
      <c r="AL267" s="95"/>
      <c r="AM267" s="131"/>
      <c r="AN267" s="104"/>
      <c r="AO267" s="218"/>
      <c r="AP267" s="144"/>
      <c r="AQ267" s="145"/>
      <c r="AR267" s="219"/>
      <c r="AS267" s="97"/>
      <c r="AT267" s="165"/>
      <c r="AU267" s="220"/>
    </row>
    <row r="268" spans="1:47" ht="18.75" customHeight="1" x14ac:dyDescent="0.3">
      <c r="A268" s="45"/>
      <c r="B268" s="26"/>
      <c r="C268" s="18"/>
      <c r="D268" s="19"/>
      <c r="E268" s="20"/>
      <c r="F268" s="6"/>
      <c r="G268" s="45"/>
      <c r="H268" s="6"/>
      <c r="I268" s="45"/>
      <c r="J268" s="6"/>
      <c r="K268" s="6"/>
      <c r="L268" s="45"/>
      <c r="M268" s="6"/>
      <c r="N268" s="6"/>
      <c r="O268" s="6"/>
      <c r="P268" s="45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45"/>
      <c r="AB268" s="6"/>
      <c r="AC268" s="6"/>
      <c r="AD268" s="6"/>
      <c r="AE268" s="7"/>
      <c r="AF268" s="7"/>
      <c r="AG268" s="16"/>
      <c r="AH268" s="17"/>
      <c r="AI268" s="16"/>
      <c r="AJ268" s="5"/>
      <c r="AK268" s="13"/>
      <c r="AL268" s="95"/>
      <c r="AM268" s="131"/>
      <c r="AN268" s="104"/>
      <c r="AO268" s="218"/>
      <c r="AP268" s="144"/>
      <c r="AQ268" s="145"/>
      <c r="AR268" s="219"/>
      <c r="AS268" s="97"/>
      <c r="AT268" s="165"/>
      <c r="AU268" s="220"/>
    </row>
    <row r="269" spans="1:47" ht="18.75" customHeight="1" x14ac:dyDescent="0.3">
      <c r="A269" s="45"/>
      <c r="B269" s="26"/>
      <c r="C269" s="18"/>
      <c r="D269" s="19"/>
      <c r="E269" s="20"/>
      <c r="F269" s="6"/>
      <c r="G269" s="45"/>
      <c r="H269" s="6"/>
      <c r="I269" s="45"/>
      <c r="J269" s="6"/>
      <c r="K269" s="6"/>
      <c r="L269" s="45"/>
      <c r="M269" s="6"/>
      <c r="N269" s="6"/>
      <c r="O269" s="6"/>
      <c r="P269" s="45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45"/>
      <c r="AB269" s="6"/>
      <c r="AC269" s="6"/>
      <c r="AD269" s="6"/>
      <c r="AE269" s="7"/>
      <c r="AF269" s="7"/>
      <c r="AG269" s="16"/>
      <c r="AH269" s="17"/>
      <c r="AI269" s="16"/>
      <c r="AJ269" s="5"/>
      <c r="AK269" s="13"/>
      <c r="AL269" s="95"/>
      <c r="AM269" s="131"/>
      <c r="AN269" s="104"/>
      <c r="AO269" s="218"/>
      <c r="AP269" s="144"/>
      <c r="AQ269" s="145"/>
      <c r="AR269" s="219"/>
      <c r="AS269" s="97"/>
      <c r="AT269" s="165"/>
      <c r="AU269" s="220"/>
    </row>
    <row r="270" spans="1:47" ht="18.75" customHeight="1" x14ac:dyDescent="0.3">
      <c r="A270" s="45"/>
      <c r="B270" s="26"/>
      <c r="C270" s="18"/>
      <c r="D270" s="19"/>
      <c r="E270" s="20"/>
      <c r="F270" s="6"/>
      <c r="G270" s="45"/>
      <c r="H270" s="6"/>
      <c r="I270" s="45"/>
      <c r="J270" s="6"/>
      <c r="K270" s="6"/>
      <c r="L270" s="45"/>
      <c r="M270" s="6"/>
      <c r="N270" s="6"/>
      <c r="O270" s="6"/>
      <c r="P270" s="45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45"/>
      <c r="AB270" s="6"/>
      <c r="AC270" s="6"/>
      <c r="AD270" s="6"/>
      <c r="AE270" s="7"/>
      <c r="AF270" s="7"/>
      <c r="AG270" s="16"/>
      <c r="AH270" s="17"/>
      <c r="AI270" s="16"/>
      <c r="AJ270" s="5"/>
      <c r="AK270" s="13"/>
      <c r="AL270" s="95"/>
      <c r="AM270" s="131"/>
      <c r="AN270" s="104"/>
      <c r="AO270" s="218"/>
      <c r="AP270" s="144"/>
      <c r="AQ270" s="145"/>
      <c r="AR270" s="219"/>
      <c r="AS270" s="97"/>
      <c r="AT270" s="165"/>
      <c r="AU270" s="220"/>
    </row>
    <row r="271" spans="1:47" ht="18.75" customHeight="1" x14ac:dyDescent="0.3">
      <c r="A271" s="45"/>
      <c r="B271" s="26"/>
      <c r="C271" s="18"/>
      <c r="D271" s="19"/>
      <c r="E271" s="20"/>
      <c r="F271" s="6"/>
      <c r="G271" s="45"/>
      <c r="H271" s="6"/>
      <c r="I271" s="45"/>
      <c r="J271" s="6"/>
      <c r="K271" s="6"/>
      <c r="L271" s="45"/>
      <c r="M271" s="6"/>
      <c r="N271" s="6"/>
      <c r="O271" s="6"/>
      <c r="P271" s="45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45"/>
      <c r="AB271" s="6"/>
      <c r="AC271" s="6"/>
      <c r="AD271" s="6"/>
      <c r="AE271" s="7"/>
      <c r="AF271" s="7"/>
      <c r="AG271" s="16"/>
      <c r="AH271" s="17"/>
      <c r="AI271" s="16"/>
      <c r="AJ271" s="5"/>
      <c r="AK271" s="13"/>
      <c r="AL271" s="95"/>
      <c r="AM271" s="131"/>
      <c r="AN271" s="104"/>
      <c r="AO271" s="218"/>
      <c r="AP271" s="144"/>
      <c r="AQ271" s="145"/>
      <c r="AR271" s="219"/>
      <c r="AS271" s="97"/>
      <c r="AT271" s="165"/>
      <c r="AU271" s="220"/>
    </row>
    <row r="272" spans="1:47" ht="18.75" customHeight="1" x14ac:dyDescent="0.3">
      <c r="A272" s="45"/>
      <c r="B272" s="26"/>
      <c r="C272" s="18"/>
      <c r="D272" s="19"/>
      <c r="E272" s="20"/>
      <c r="F272" s="6"/>
      <c r="G272" s="45"/>
      <c r="H272" s="6"/>
      <c r="I272" s="45"/>
      <c r="J272" s="6"/>
      <c r="K272" s="6"/>
      <c r="L272" s="45"/>
      <c r="M272" s="6"/>
      <c r="N272" s="6"/>
      <c r="O272" s="6"/>
      <c r="P272" s="45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45"/>
      <c r="AB272" s="6"/>
      <c r="AC272" s="6"/>
      <c r="AD272" s="6"/>
      <c r="AE272" s="7"/>
      <c r="AF272" s="7"/>
      <c r="AG272" s="16"/>
      <c r="AH272" s="17"/>
      <c r="AI272" s="16"/>
      <c r="AJ272" s="5"/>
      <c r="AK272" s="13"/>
      <c r="AL272" s="95"/>
      <c r="AM272" s="131"/>
      <c r="AN272" s="104"/>
      <c r="AO272" s="218"/>
      <c r="AP272" s="144"/>
      <c r="AQ272" s="145"/>
      <c r="AR272" s="219"/>
      <c r="AS272" s="97"/>
      <c r="AT272" s="165"/>
      <c r="AU272" s="220"/>
    </row>
    <row r="273" spans="1:47" ht="18.75" customHeight="1" x14ac:dyDescent="0.3">
      <c r="A273" s="45"/>
      <c r="B273" s="26"/>
      <c r="C273" s="18"/>
      <c r="D273" s="19"/>
      <c r="E273" s="20"/>
      <c r="F273" s="6"/>
      <c r="G273" s="45"/>
      <c r="H273" s="6"/>
      <c r="I273" s="45"/>
      <c r="J273" s="6"/>
      <c r="K273" s="6"/>
      <c r="L273" s="45"/>
      <c r="M273" s="6"/>
      <c r="N273" s="6"/>
      <c r="O273" s="6"/>
      <c r="P273" s="45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45"/>
      <c r="AB273" s="6"/>
      <c r="AC273" s="6"/>
      <c r="AD273" s="6"/>
      <c r="AE273" s="7"/>
      <c r="AF273" s="7"/>
      <c r="AG273" s="16"/>
      <c r="AH273" s="17"/>
      <c r="AI273" s="16"/>
      <c r="AJ273" s="5"/>
      <c r="AK273" s="13"/>
      <c r="AL273" s="95"/>
      <c r="AM273" s="131"/>
      <c r="AN273" s="104"/>
      <c r="AO273" s="218"/>
      <c r="AP273" s="144"/>
      <c r="AQ273" s="145"/>
      <c r="AR273" s="219"/>
      <c r="AS273" s="97"/>
      <c r="AT273" s="165"/>
      <c r="AU273" s="220"/>
    </row>
    <row r="274" spans="1:47" ht="18.75" customHeight="1" x14ac:dyDescent="0.3">
      <c r="A274" s="45"/>
      <c r="B274" s="26"/>
      <c r="C274" s="18"/>
      <c r="D274" s="19"/>
      <c r="E274" s="20"/>
      <c r="F274" s="6"/>
      <c r="G274" s="45"/>
      <c r="H274" s="6"/>
      <c r="I274" s="45"/>
      <c r="J274" s="6"/>
      <c r="K274" s="6"/>
      <c r="L274" s="45"/>
      <c r="M274" s="6"/>
      <c r="N274" s="6"/>
      <c r="O274" s="6"/>
      <c r="P274" s="45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45"/>
      <c r="AB274" s="6"/>
      <c r="AC274" s="6"/>
      <c r="AD274" s="6"/>
      <c r="AE274" s="7"/>
      <c r="AF274" s="7"/>
      <c r="AG274" s="16"/>
      <c r="AH274" s="17"/>
      <c r="AI274" s="16"/>
      <c r="AJ274" s="5"/>
      <c r="AK274" s="13"/>
      <c r="AL274" s="95"/>
      <c r="AM274" s="131"/>
      <c r="AN274" s="104"/>
      <c r="AO274" s="218"/>
      <c r="AP274" s="144"/>
      <c r="AQ274" s="145"/>
      <c r="AR274" s="219"/>
      <c r="AS274" s="97"/>
      <c r="AT274" s="165"/>
      <c r="AU274" s="220"/>
    </row>
    <row r="275" spans="1:47" ht="18.75" customHeight="1" x14ac:dyDescent="0.3">
      <c r="A275" s="45"/>
      <c r="B275" s="26"/>
      <c r="C275" s="18"/>
      <c r="D275" s="19"/>
      <c r="E275" s="20"/>
      <c r="F275" s="6"/>
      <c r="G275" s="45"/>
      <c r="H275" s="6"/>
      <c r="I275" s="45"/>
      <c r="J275" s="6"/>
      <c r="K275" s="6"/>
      <c r="L275" s="45"/>
      <c r="M275" s="6"/>
      <c r="N275" s="6"/>
      <c r="O275" s="6"/>
      <c r="P275" s="45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45"/>
      <c r="AB275" s="6"/>
      <c r="AC275" s="6"/>
      <c r="AD275" s="6"/>
      <c r="AE275" s="7"/>
      <c r="AF275" s="7"/>
      <c r="AG275" s="16"/>
      <c r="AH275" s="17"/>
      <c r="AI275" s="16"/>
      <c r="AJ275" s="5"/>
      <c r="AK275" s="13"/>
      <c r="AL275" s="95"/>
      <c r="AM275" s="131"/>
      <c r="AN275" s="104"/>
      <c r="AO275" s="218"/>
      <c r="AP275" s="144"/>
      <c r="AQ275" s="145"/>
      <c r="AR275" s="219"/>
      <c r="AS275" s="97"/>
      <c r="AT275" s="165"/>
      <c r="AU275" s="220"/>
    </row>
    <row r="276" spans="1:47" ht="18.75" customHeight="1" x14ac:dyDescent="0.3">
      <c r="A276" s="45"/>
      <c r="B276" s="26"/>
      <c r="C276" s="18"/>
      <c r="D276" s="19"/>
      <c r="E276" s="20"/>
      <c r="F276" s="6"/>
      <c r="G276" s="45"/>
      <c r="H276" s="6"/>
      <c r="I276" s="45"/>
      <c r="J276" s="6"/>
      <c r="K276" s="6"/>
      <c r="L276" s="45"/>
      <c r="M276" s="6"/>
      <c r="N276" s="6"/>
      <c r="O276" s="6"/>
      <c r="P276" s="45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45"/>
      <c r="AB276" s="6"/>
      <c r="AC276" s="6"/>
      <c r="AD276" s="6"/>
      <c r="AE276" s="7"/>
      <c r="AF276" s="7"/>
      <c r="AG276" s="16"/>
      <c r="AH276" s="17"/>
      <c r="AI276" s="16"/>
      <c r="AJ276" s="5"/>
      <c r="AK276" s="13"/>
      <c r="AL276" s="95"/>
      <c r="AM276" s="131"/>
      <c r="AN276" s="104"/>
      <c r="AO276" s="218"/>
      <c r="AP276" s="144"/>
      <c r="AQ276" s="145"/>
      <c r="AR276" s="219"/>
      <c r="AS276" s="97"/>
      <c r="AT276" s="165"/>
      <c r="AU276" s="220"/>
    </row>
  </sheetData>
  <autoFilter ref="AM4:AT161" xr:uid="{00000000-0001-0000-0100-000000000000}"/>
  <sortState xmlns:xlrd2="http://schemas.microsoft.com/office/spreadsheetml/2017/richdata2" ref="A6:AQ134">
    <sortCondition ref="AJ6:AJ134"/>
  </sortState>
  <mergeCells count="6">
    <mergeCell ref="F3:I3"/>
    <mergeCell ref="J3:L3"/>
    <mergeCell ref="Y3:AA3"/>
    <mergeCell ref="AB3:AD3"/>
    <mergeCell ref="M3:P3"/>
    <mergeCell ref="Q3:X3"/>
  </mergeCells>
  <conditionalFormatting sqref="AM4">
    <cfRule type="cellIs" dxfId="7" priority="4" operator="equal">
      <formula>0</formula>
    </cfRule>
  </conditionalFormatting>
  <conditionalFormatting sqref="AP4">
    <cfRule type="cellIs" dxfId="6" priority="2" operator="equal">
      <formula>0</formula>
    </cfRule>
  </conditionalFormatting>
  <conditionalFormatting sqref="AS4">
    <cfRule type="cellIs" dxfId="5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0"/>
  <sheetViews>
    <sheetView zoomScale="70" zoomScaleNormal="70" workbookViewId="0">
      <pane ySplit="3" topLeftCell="A4" activePane="bottomLeft" state="frozenSplit"/>
      <selection pane="bottomLeft" activeCell="AI16" sqref="AI16"/>
    </sheetView>
  </sheetViews>
  <sheetFormatPr defaultRowHeight="14.4" x14ac:dyDescent="0.3"/>
  <cols>
    <col min="1" max="1" width="10.5546875" customWidth="1"/>
    <col min="2" max="2" width="22" bestFit="1" customWidth="1"/>
    <col min="3" max="3" width="22" style="33" customWidth="1"/>
    <col min="4" max="4" width="38.6640625" customWidth="1"/>
    <col min="5" max="5" width="23.44140625" customWidth="1"/>
    <col min="6" max="6" width="44.88671875" bestFit="1" customWidth="1"/>
    <col min="7" max="13" width="18.109375" customWidth="1"/>
    <col min="14" max="14" width="18.109375" style="33" customWidth="1"/>
    <col min="15" max="15" width="18.109375" customWidth="1"/>
    <col min="16" max="20" width="11.88671875" customWidth="1"/>
    <col min="21" max="21" width="13.6640625" customWidth="1"/>
    <col min="22" max="23" width="11.88671875" customWidth="1"/>
    <col min="24" max="24" width="15.6640625" customWidth="1"/>
    <col min="25" max="25" width="14.109375" hidden="1" customWidth="1"/>
    <col min="26" max="26" width="14.6640625" customWidth="1"/>
    <col min="27" max="27" width="13.88671875" style="141" hidden="1" customWidth="1"/>
    <col min="28" max="28" width="14.6640625" style="32" customWidth="1"/>
    <col min="29" max="29" width="14.6640625" style="141" hidden="1" customWidth="1"/>
    <col min="30" max="30" width="13.88671875" customWidth="1"/>
    <col min="31" max="31" width="14.6640625" style="141" hidden="1" customWidth="1"/>
  </cols>
  <sheetData>
    <row r="1" spans="1:31" x14ac:dyDescent="0.3">
      <c r="G1" s="35" t="s">
        <v>640</v>
      </c>
      <c r="H1" s="35" t="s">
        <v>653</v>
      </c>
      <c r="I1" s="35" t="s">
        <v>653</v>
      </c>
      <c r="J1" s="35" t="s">
        <v>653</v>
      </c>
      <c r="K1" s="35" t="s">
        <v>1021</v>
      </c>
      <c r="L1" s="35" t="s">
        <v>653</v>
      </c>
      <c r="M1" s="35" t="s">
        <v>914</v>
      </c>
      <c r="N1" s="132" t="s">
        <v>653</v>
      </c>
      <c r="O1" s="35" t="s">
        <v>653</v>
      </c>
    </row>
    <row r="2" spans="1:31" x14ac:dyDescent="0.3">
      <c r="G2" s="63" t="s">
        <v>17</v>
      </c>
      <c r="H2" s="105" t="s">
        <v>654</v>
      </c>
      <c r="I2" s="106" t="s">
        <v>170</v>
      </c>
      <c r="J2" s="111" t="s">
        <v>655</v>
      </c>
      <c r="K2" s="160" t="s">
        <v>690</v>
      </c>
      <c r="L2" s="212" t="s">
        <v>171</v>
      </c>
      <c r="M2" s="213"/>
      <c r="N2" s="133" t="s">
        <v>172</v>
      </c>
      <c r="O2" s="109" t="s">
        <v>656</v>
      </c>
      <c r="X2" s="120">
        <f t="shared" ref="X2:AD2" si="0">SUBTOTAL(9,X4:X126)</f>
        <v>217</v>
      </c>
      <c r="Y2" s="98">
        <f t="shared" si="0"/>
        <v>217</v>
      </c>
      <c r="Z2" s="120">
        <f t="shared" si="0"/>
        <v>476</v>
      </c>
      <c r="AA2" s="98">
        <f t="shared" si="0"/>
        <v>476</v>
      </c>
      <c r="AB2" s="120">
        <f t="shared" si="0"/>
        <v>609</v>
      </c>
      <c r="AC2" s="98">
        <f t="shared" ref="AC2" si="1">SUBTOTAL(9,AC4:AC126)</f>
        <v>609</v>
      </c>
      <c r="AD2" s="120">
        <f t="shared" si="0"/>
        <v>24</v>
      </c>
      <c r="AE2" s="98">
        <f t="shared" ref="AE2" si="2">SUBTOTAL(9,AE4:AE126)</f>
        <v>24</v>
      </c>
    </row>
    <row r="3" spans="1:31" ht="56.25" customHeight="1" x14ac:dyDescent="0.3">
      <c r="A3" s="28" t="s">
        <v>2</v>
      </c>
      <c r="B3" s="72" t="s">
        <v>3</v>
      </c>
      <c r="C3" s="89" t="s">
        <v>641</v>
      </c>
      <c r="D3" s="8" t="s">
        <v>4</v>
      </c>
      <c r="E3" s="9" t="s">
        <v>5</v>
      </c>
      <c r="F3" s="38" t="s">
        <v>8</v>
      </c>
      <c r="G3" s="23" t="s">
        <v>620</v>
      </c>
      <c r="H3" s="107" t="s">
        <v>649</v>
      </c>
      <c r="I3" s="108" t="s">
        <v>650</v>
      </c>
      <c r="J3" s="112" t="s">
        <v>651</v>
      </c>
      <c r="K3" s="161" t="s">
        <v>1022</v>
      </c>
      <c r="L3" s="115" t="s">
        <v>912</v>
      </c>
      <c r="M3" s="40" t="s">
        <v>913</v>
      </c>
      <c r="N3" s="134" t="s">
        <v>827</v>
      </c>
      <c r="O3" s="110" t="s">
        <v>652</v>
      </c>
      <c r="P3" s="22" t="s">
        <v>632</v>
      </c>
      <c r="Q3" s="14" t="s">
        <v>12</v>
      </c>
      <c r="R3" s="15" t="s">
        <v>13</v>
      </c>
      <c r="S3" s="14" t="s">
        <v>14</v>
      </c>
      <c r="T3" s="10" t="s">
        <v>0</v>
      </c>
      <c r="U3" s="78" t="s">
        <v>544</v>
      </c>
      <c r="V3" s="11" t="s">
        <v>10</v>
      </c>
      <c r="W3" s="12" t="s">
        <v>11</v>
      </c>
      <c r="X3" s="121" t="s">
        <v>644</v>
      </c>
      <c r="Y3" s="99" t="s">
        <v>646</v>
      </c>
      <c r="Z3" s="121" t="s">
        <v>683</v>
      </c>
      <c r="AA3" s="142" t="s">
        <v>836</v>
      </c>
      <c r="AB3" s="121" t="s">
        <v>1020</v>
      </c>
      <c r="AC3" s="142" t="s">
        <v>1040</v>
      </c>
      <c r="AD3" s="121" t="s">
        <v>1037</v>
      </c>
      <c r="AE3" s="142" t="s">
        <v>1047</v>
      </c>
    </row>
    <row r="4" spans="1:31" x14ac:dyDescent="0.3">
      <c r="A4" s="75" t="s">
        <v>369</v>
      </c>
      <c r="B4" s="24" t="s">
        <v>508</v>
      </c>
      <c r="C4" s="86"/>
      <c r="D4" s="18" t="s">
        <v>441</v>
      </c>
      <c r="E4" s="19" t="s">
        <v>442</v>
      </c>
      <c r="F4" s="20" t="s">
        <v>519</v>
      </c>
      <c r="G4" s="114">
        <v>1</v>
      </c>
      <c r="H4" s="114">
        <v>1</v>
      </c>
      <c r="I4" s="114">
        <v>1</v>
      </c>
      <c r="J4" s="151">
        <v>1</v>
      </c>
      <c r="K4" s="162"/>
      <c r="L4" s="114">
        <v>1</v>
      </c>
      <c r="M4" s="151">
        <v>1</v>
      </c>
      <c r="N4" s="135">
        <v>1</v>
      </c>
      <c r="O4" s="114">
        <v>1</v>
      </c>
      <c r="P4" s="7">
        <v>6.47</v>
      </c>
      <c r="Q4" s="70">
        <f t="shared" ref="Q4:Q40" si="3">ROUND((P4*1.2*1.5+4)*10,0)/10</f>
        <v>15.6</v>
      </c>
      <c r="R4" s="71">
        <f t="shared" ref="R4:R40" si="4">ROUND((P4*1.2*1.5+10)*10,0)/10</f>
        <v>21.6</v>
      </c>
      <c r="S4" s="70">
        <f t="shared" ref="S4:S100" si="5">ROUND(R4/0.7*1.22,0)</f>
        <v>38</v>
      </c>
      <c r="T4" s="74" t="s">
        <v>134</v>
      </c>
      <c r="U4" s="73" t="s">
        <v>550</v>
      </c>
      <c r="V4" s="90"/>
      <c r="W4" s="46"/>
      <c r="X4" s="122">
        <v>5</v>
      </c>
      <c r="Y4" s="101">
        <f>X4</f>
        <v>5</v>
      </c>
      <c r="Z4" s="122">
        <v>15</v>
      </c>
      <c r="AA4" s="104">
        <v>15</v>
      </c>
      <c r="AB4" s="122">
        <v>10</v>
      </c>
      <c r="AC4" s="146">
        <v>10</v>
      </c>
      <c r="AD4" s="91"/>
      <c r="AE4" s="146"/>
    </row>
    <row r="5" spans="1:31" x14ac:dyDescent="0.3">
      <c r="A5" s="75" t="s">
        <v>369</v>
      </c>
      <c r="B5" s="163" t="s">
        <v>1023</v>
      </c>
      <c r="C5" s="86"/>
      <c r="D5" s="18" t="s">
        <v>441</v>
      </c>
      <c r="E5" s="19" t="s">
        <v>442</v>
      </c>
      <c r="F5" s="20" t="s">
        <v>519</v>
      </c>
      <c r="G5" s="114"/>
      <c r="H5" s="114"/>
      <c r="I5" s="114"/>
      <c r="J5" s="152"/>
      <c r="K5" s="162">
        <v>1</v>
      </c>
      <c r="L5" s="114"/>
      <c r="M5" s="152"/>
      <c r="N5" s="135"/>
      <c r="O5" s="114"/>
      <c r="P5" s="7">
        <v>4.78</v>
      </c>
      <c r="Q5" s="70">
        <f t="shared" ref="Q5" si="6">ROUND((P5*1.2*1.5+4)*10,0)/10</f>
        <v>12.6</v>
      </c>
      <c r="R5" s="71">
        <f t="shared" ref="R5" si="7">ROUND((P5*1.2*1.5+10)*10,0)/10</f>
        <v>18.600000000000001</v>
      </c>
      <c r="S5" s="70">
        <f t="shared" ref="S5" si="8">ROUND(R5/0.7*1.22,0)</f>
        <v>32</v>
      </c>
      <c r="T5" s="5" t="s">
        <v>134</v>
      </c>
      <c r="U5" s="73" t="s">
        <v>550</v>
      </c>
      <c r="V5" s="47"/>
      <c r="W5" s="46"/>
      <c r="X5" s="153"/>
      <c r="Y5" s="101"/>
      <c r="Z5" s="153"/>
      <c r="AA5" s="104"/>
      <c r="AB5" s="91"/>
      <c r="AC5" s="146"/>
      <c r="AD5" s="122">
        <v>2</v>
      </c>
      <c r="AE5" s="146">
        <v>2</v>
      </c>
    </row>
    <row r="6" spans="1:31" x14ac:dyDescent="0.3">
      <c r="A6" s="75" t="s">
        <v>370</v>
      </c>
      <c r="B6" s="24" t="s">
        <v>509</v>
      </c>
      <c r="C6" s="86"/>
      <c r="D6" s="18" t="s">
        <v>443</v>
      </c>
      <c r="E6" s="19" t="s">
        <v>444</v>
      </c>
      <c r="F6" s="20" t="s">
        <v>520</v>
      </c>
      <c r="G6" s="114">
        <v>1</v>
      </c>
      <c r="H6" s="114">
        <v>1</v>
      </c>
      <c r="I6" s="114">
        <v>1</v>
      </c>
      <c r="J6" s="152">
        <v>1</v>
      </c>
      <c r="K6" s="162">
        <v>1</v>
      </c>
      <c r="L6" s="114">
        <v>1</v>
      </c>
      <c r="M6" s="152"/>
      <c r="N6" s="135">
        <v>1</v>
      </c>
      <c r="O6" s="114">
        <v>1</v>
      </c>
      <c r="P6" s="7">
        <v>3.84</v>
      </c>
      <c r="Q6" s="70">
        <f t="shared" si="3"/>
        <v>10.9</v>
      </c>
      <c r="R6" s="71">
        <f t="shared" si="4"/>
        <v>16.899999999999999</v>
      </c>
      <c r="S6" s="70">
        <f t="shared" si="5"/>
        <v>29</v>
      </c>
      <c r="T6" s="5" t="s">
        <v>134</v>
      </c>
      <c r="U6" s="73" t="s">
        <v>551</v>
      </c>
      <c r="V6" s="47"/>
      <c r="W6" s="46"/>
      <c r="X6" s="122">
        <v>5</v>
      </c>
      <c r="Y6" s="101">
        <f t="shared" ref="Y6:Y17" si="9">X6</f>
        <v>5</v>
      </c>
      <c r="Z6" s="122">
        <v>4</v>
      </c>
      <c r="AA6" s="104">
        <v>4</v>
      </c>
      <c r="AB6" s="122">
        <v>2</v>
      </c>
      <c r="AC6" s="146">
        <v>2</v>
      </c>
      <c r="AD6" s="91"/>
      <c r="AE6" s="146"/>
    </row>
    <row r="7" spans="1:31" x14ac:dyDescent="0.3">
      <c r="A7" s="75" t="s">
        <v>377</v>
      </c>
      <c r="B7" s="24" t="s">
        <v>598</v>
      </c>
      <c r="C7" s="86"/>
      <c r="D7" s="18" t="s">
        <v>457</v>
      </c>
      <c r="E7" s="19" t="s">
        <v>458</v>
      </c>
      <c r="F7" s="20" t="s">
        <v>525</v>
      </c>
      <c r="G7" s="114">
        <v>1</v>
      </c>
      <c r="H7" s="114">
        <v>1</v>
      </c>
      <c r="I7" s="114">
        <v>1</v>
      </c>
      <c r="J7" s="152">
        <v>1</v>
      </c>
      <c r="K7" s="162"/>
      <c r="L7" s="114">
        <v>1</v>
      </c>
      <c r="M7" s="152"/>
      <c r="N7" s="135">
        <v>1</v>
      </c>
      <c r="O7" s="114">
        <v>1</v>
      </c>
      <c r="P7" s="7">
        <v>3.03</v>
      </c>
      <c r="Q7" s="70">
        <f t="shared" si="3"/>
        <v>9.5</v>
      </c>
      <c r="R7" s="71">
        <f t="shared" si="4"/>
        <v>15.5</v>
      </c>
      <c r="S7" s="70">
        <f t="shared" si="5"/>
        <v>27</v>
      </c>
      <c r="T7" s="5" t="s">
        <v>134</v>
      </c>
      <c r="U7" s="73" t="s">
        <v>555</v>
      </c>
      <c r="V7" s="47"/>
      <c r="W7" s="46"/>
      <c r="X7" s="122">
        <v>5</v>
      </c>
      <c r="Y7" s="101">
        <f t="shared" si="9"/>
        <v>5</v>
      </c>
      <c r="Z7" s="91"/>
      <c r="AA7" s="143"/>
      <c r="AB7" s="91"/>
      <c r="AC7" s="146"/>
      <c r="AD7" s="91"/>
      <c r="AE7" s="146"/>
    </row>
    <row r="8" spans="1:31" x14ac:dyDescent="0.3">
      <c r="A8" s="75" t="s">
        <v>378</v>
      </c>
      <c r="B8" s="24" t="s">
        <v>599</v>
      </c>
      <c r="C8" s="86"/>
      <c r="D8" s="18" t="s">
        <v>459</v>
      </c>
      <c r="E8" s="19" t="s">
        <v>460</v>
      </c>
      <c r="F8" s="20" t="s">
        <v>526</v>
      </c>
      <c r="G8" s="114">
        <v>1</v>
      </c>
      <c r="H8" s="114">
        <v>1</v>
      </c>
      <c r="I8" s="114">
        <v>1</v>
      </c>
      <c r="J8" s="152">
        <v>1</v>
      </c>
      <c r="K8" s="162"/>
      <c r="L8" s="114">
        <v>1</v>
      </c>
      <c r="M8" s="152"/>
      <c r="N8" s="135">
        <v>1</v>
      </c>
      <c r="O8" s="114">
        <v>1</v>
      </c>
      <c r="P8" s="7">
        <v>3.03</v>
      </c>
      <c r="Q8" s="70">
        <f t="shared" si="3"/>
        <v>9.5</v>
      </c>
      <c r="R8" s="71">
        <f t="shared" si="4"/>
        <v>15.5</v>
      </c>
      <c r="S8" s="70">
        <f t="shared" si="5"/>
        <v>27</v>
      </c>
      <c r="T8" s="5" t="s">
        <v>134</v>
      </c>
      <c r="U8" s="73" t="s">
        <v>555</v>
      </c>
      <c r="V8" s="47"/>
      <c r="W8" s="46"/>
      <c r="X8" s="122">
        <v>5</v>
      </c>
      <c r="Y8" s="101">
        <f t="shared" si="9"/>
        <v>5</v>
      </c>
      <c r="Z8" s="91"/>
      <c r="AA8" s="143"/>
      <c r="AB8" s="91"/>
      <c r="AC8" s="146"/>
      <c r="AD8" s="91"/>
      <c r="AE8" s="146"/>
    </row>
    <row r="9" spans="1:31" x14ac:dyDescent="0.3">
      <c r="A9" s="75" t="s">
        <v>351</v>
      </c>
      <c r="B9" s="24" t="s">
        <v>574</v>
      </c>
      <c r="C9" s="86"/>
      <c r="D9" s="18" t="s">
        <v>405</v>
      </c>
      <c r="E9" s="19" t="s">
        <v>406</v>
      </c>
      <c r="F9" s="20" t="s">
        <v>513</v>
      </c>
      <c r="G9" s="114">
        <v>1</v>
      </c>
      <c r="H9" s="114">
        <v>1</v>
      </c>
      <c r="I9" s="114">
        <v>1</v>
      </c>
      <c r="J9" s="152">
        <v>1</v>
      </c>
      <c r="K9" s="162">
        <v>1</v>
      </c>
      <c r="L9" s="114">
        <v>1</v>
      </c>
      <c r="M9" s="152"/>
      <c r="N9" s="135">
        <v>1</v>
      </c>
      <c r="O9" s="114">
        <v>1</v>
      </c>
      <c r="P9" s="7">
        <v>2.0299999999999998</v>
      </c>
      <c r="Q9" s="70">
        <f t="shared" si="3"/>
        <v>7.7</v>
      </c>
      <c r="R9" s="71">
        <f t="shared" si="4"/>
        <v>13.7</v>
      </c>
      <c r="S9" s="70">
        <f t="shared" si="5"/>
        <v>24</v>
      </c>
      <c r="T9" s="5" t="s">
        <v>137</v>
      </c>
      <c r="U9" s="73" t="s">
        <v>545</v>
      </c>
      <c r="V9" s="47"/>
      <c r="W9" s="46"/>
      <c r="X9" s="122">
        <v>5</v>
      </c>
      <c r="Y9" s="101">
        <f t="shared" si="9"/>
        <v>5</v>
      </c>
      <c r="Z9" s="122">
        <v>5</v>
      </c>
      <c r="AA9" s="104">
        <v>5</v>
      </c>
      <c r="AB9" s="122">
        <v>10</v>
      </c>
      <c r="AC9" s="146">
        <v>10</v>
      </c>
      <c r="AD9" s="91"/>
      <c r="AE9" s="146"/>
    </row>
    <row r="10" spans="1:31" x14ac:dyDescent="0.3">
      <c r="A10" s="75" t="s">
        <v>368</v>
      </c>
      <c r="B10" s="24" t="s">
        <v>591</v>
      </c>
      <c r="C10" s="86"/>
      <c r="D10" s="18" t="s">
        <v>439</v>
      </c>
      <c r="E10" s="19" t="s">
        <v>440</v>
      </c>
      <c r="F10" s="20" t="s">
        <v>518</v>
      </c>
      <c r="G10" s="114">
        <v>1</v>
      </c>
      <c r="H10" s="114">
        <v>1</v>
      </c>
      <c r="I10" s="114">
        <v>1</v>
      </c>
      <c r="J10" s="152">
        <v>1</v>
      </c>
      <c r="K10" s="162">
        <v>1</v>
      </c>
      <c r="L10" s="114">
        <v>1</v>
      </c>
      <c r="M10" s="152"/>
      <c r="N10" s="135">
        <v>1</v>
      </c>
      <c r="O10" s="114">
        <v>1</v>
      </c>
      <c r="P10" s="7">
        <v>0.48</v>
      </c>
      <c r="Q10" s="70">
        <f t="shared" si="3"/>
        <v>4.9000000000000004</v>
      </c>
      <c r="R10" s="71">
        <f t="shared" si="4"/>
        <v>10.9</v>
      </c>
      <c r="S10" s="70">
        <f t="shared" si="5"/>
        <v>19</v>
      </c>
      <c r="T10" s="5" t="s">
        <v>137</v>
      </c>
      <c r="U10" s="73"/>
      <c r="V10" s="47"/>
      <c r="W10" s="46"/>
      <c r="X10" s="122">
        <v>5</v>
      </c>
      <c r="Y10" s="101">
        <f t="shared" si="9"/>
        <v>5</v>
      </c>
      <c r="Z10" s="91"/>
      <c r="AA10" s="143"/>
      <c r="AB10" s="91"/>
      <c r="AC10" s="146"/>
      <c r="AD10" s="91"/>
      <c r="AE10" s="146"/>
    </row>
    <row r="11" spans="1:31" x14ac:dyDescent="0.3">
      <c r="A11" s="75" t="s">
        <v>373</v>
      </c>
      <c r="B11" s="24" t="s">
        <v>594</v>
      </c>
      <c r="C11" s="86"/>
      <c r="D11" s="18" t="s">
        <v>449</v>
      </c>
      <c r="E11" s="19" t="s">
        <v>450</v>
      </c>
      <c r="F11" s="20" t="s">
        <v>521</v>
      </c>
      <c r="G11" s="114">
        <v>1</v>
      </c>
      <c r="H11" s="114">
        <v>1</v>
      </c>
      <c r="I11" s="114">
        <v>1</v>
      </c>
      <c r="J11" s="152">
        <v>1</v>
      </c>
      <c r="K11" s="162"/>
      <c r="L11" s="114">
        <v>1</v>
      </c>
      <c r="M11" s="152"/>
      <c r="N11" s="135">
        <v>1</v>
      </c>
      <c r="O11" s="114">
        <v>1</v>
      </c>
      <c r="P11" s="7">
        <v>1.43</v>
      </c>
      <c r="Q11" s="70">
        <f t="shared" si="3"/>
        <v>6.6</v>
      </c>
      <c r="R11" s="71">
        <f t="shared" si="4"/>
        <v>12.6</v>
      </c>
      <c r="S11" s="70">
        <f t="shared" si="5"/>
        <v>22</v>
      </c>
      <c r="T11" s="5" t="s">
        <v>137</v>
      </c>
      <c r="U11" s="73" t="s">
        <v>552</v>
      </c>
      <c r="V11" s="47"/>
      <c r="W11" s="46"/>
      <c r="X11" s="122">
        <v>5</v>
      </c>
      <c r="Y11" s="101">
        <f t="shared" si="9"/>
        <v>5</v>
      </c>
      <c r="Z11" s="91"/>
      <c r="AA11" s="143"/>
      <c r="AB11" s="91"/>
      <c r="AC11" s="146"/>
      <c r="AD11" s="91"/>
      <c r="AE11" s="146"/>
    </row>
    <row r="12" spans="1:31" x14ac:dyDescent="0.3">
      <c r="A12" s="75" t="s">
        <v>374</v>
      </c>
      <c r="B12" s="24" t="s">
        <v>595</v>
      </c>
      <c r="C12" s="86" t="s">
        <v>642</v>
      </c>
      <c r="D12" s="18" t="s">
        <v>451</v>
      </c>
      <c r="E12" s="19" t="s">
        <v>452</v>
      </c>
      <c r="F12" s="20" t="s">
        <v>522</v>
      </c>
      <c r="G12" s="114">
        <v>1</v>
      </c>
      <c r="H12" s="114">
        <v>1</v>
      </c>
      <c r="I12" s="114">
        <v>1</v>
      </c>
      <c r="J12" s="152">
        <v>1</v>
      </c>
      <c r="K12" s="162"/>
      <c r="L12" s="114">
        <v>1</v>
      </c>
      <c r="M12" s="152">
        <v>1</v>
      </c>
      <c r="N12" s="135">
        <v>1</v>
      </c>
      <c r="O12" s="114">
        <v>1</v>
      </c>
      <c r="P12" s="7">
        <v>0.33</v>
      </c>
      <c r="Q12" s="70">
        <f t="shared" si="3"/>
        <v>4.5999999999999996</v>
      </c>
      <c r="R12" s="71">
        <f t="shared" si="4"/>
        <v>10.6</v>
      </c>
      <c r="S12" s="70">
        <f t="shared" si="5"/>
        <v>18</v>
      </c>
      <c r="T12" s="5" t="s">
        <v>287</v>
      </c>
      <c r="U12" s="73"/>
      <c r="V12" s="87">
        <v>7</v>
      </c>
      <c r="W12" s="88">
        <v>8</v>
      </c>
      <c r="X12" s="122">
        <v>5</v>
      </c>
      <c r="Y12" s="101">
        <f t="shared" si="9"/>
        <v>5</v>
      </c>
      <c r="Z12" s="91"/>
      <c r="AA12" s="143"/>
      <c r="AB12" s="91"/>
      <c r="AC12" s="146"/>
      <c r="AD12" s="91"/>
      <c r="AE12" s="146"/>
    </row>
    <row r="13" spans="1:31" x14ac:dyDescent="0.3">
      <c r="A13" s="75" t="s">
        <v>386</v>
      </c>
      <c r="B13" s="24" t="s">
        <v>606</v>
      </c>
      <c r="C13" s="86"/>
      <c r="D13" s="18" t="s">
        <v>475</v>
      </c>
      <c r="E13" s="19" t="s">
        <v>476</v>
      </c>
      <c r="F13" s="20" t="s">
        <v>530</v>
      </c>
      <c r="G13" s="114">
        <v>2</v>
      </c>
      <c r="H13" s="114">
        <v>2</v>
      </c>
      <c r="I13" s="114">
        <v>2</v>
      </c>
      <c r="J13" s="152">
        <v>2</v>
      </c>
      <c r="K13" s="162">
        <v>2</v>
      </c>
      <c r="L13" s="114">
        <v>2</v>
      </c>
      <c r="M13" s="152">
        <v>2</v>
      </c>
      <c r="N13" s="135">
        <v>2</v>
      </c>
      <c r="O13" s="114">
        <v>2</v>
      </c>
      <c r="P13" s="7">
        <v>0.05</v>
      </c>
      <c r="Q13" s="70">
        <f t="shared" si="3"/>
        <v>4.0999999999999996</v>
      </c>
      <c r="R13" s="71">
        <f t="shared" si="4"/>
        <v>10.1</v>
      </c>
      <c r="S13" s="70">
        <f t="shared" si="5"/>
        <v>18</v>
      </c>
      <c r="T13" s="5" t="s">
        <v>137</v>
      </c>
      <c r="U13" s="73" t="s">
        <v>558</v>
      </c>
      <c r="V13" s="47">
        <v>0</v>
      </c>
      <c r="W13" s="46">
        <v>24</v>
      </c>
      <c r="X13" s="123">
        <v>8</v>
      </c>
      <c r="Y13" s="101">
        <f t="shared" si="9"/>
        <v>8</v>
      </c>
      <c r="Z13" s="92"/>
      <c r="AA13" s="143"/>
      <c r="AB13" s="122">
        <v>20</v>
      </c>
      <c r="AC13" s="146">
        <v>20</v>
      </c>
      <c r="AD13" s="91"/>
      <c r="AE13" s="146"/>
    </row>
    <row r="14" spans="1:31" x14ac:dyDescent="0.3">
      <c r="A14" s="75" t="s">
        <v>387</v>
      </c>
      <c r="B14" s="24" t="s">
        <v>607</v>
      </c>
      <c r="C14" s="86"/>
      <c r="D14" s="18" t="s">
        <v>477</v>
      </c>
      <c r="E14" s="19" t="s">
        <v>478</v>
      </c>
      <c r="F14" s="20" t="s">
        <v>531</v>
      </c>
      <c r="G14" s="114">
        <v>2</v>
      </c>
      <c r="H14" s="114">
        <v>2</v>
      </c>
      <c r="I14" s="114">
        <v>2</v>
      </c>
      <c r="J14" s="152">
        <v>2</v>
      </c>
      <c r="K14" s="162">
        <v>2</v>
      </c>
      <c r="L14" s="114">
        <v>2</v>
      </c>
      <c r="M14" s="152"/>
      <c r="N14" s="135">
        <v>2</v>
      </c>
      <c r="O14" s="114">
        <v>2</v>
      </c>
      <c r="P14" s="7">
        <v>2.81</v>
      </c>
      <c r="Q14" s="70">
        <f t="shared" si="3"/>
        <v>9.1</v>
      </c>
      <c r="R14" s="71">
        <f t="shared" si="4"/>
        <v>15.1</v>
      </c>
      <c r="S14" s="70">
        <f t="shared" si="5"/>
        <v>26</v>
      </c>
      <c r="T14" s="5" t="s">
        <v>137</v>
      </c>
      <c r="U14" s="73" t="s">
        <v>559</v>
      </c>
      <c r="V14" s="47"/>
      <c r="W14" s="46"/>
      <c r="X14" s="122">
        <v>5</v>
      </c>
      <c r="Y14" s="101">
        <f t="shared" si="9"/>
        <v>5</v>
      </c>
      <c r="Z14" s="122">
        <v>20</v>
      </c>
      <c r="AA14" s="104">
        <v>20</v>
      </c>
      <c r="AB14" s="122">
        <v>20</v>
      </c>
      <c r="AC14" s="146">
        <v>20</v>
      </c>
      <c r="AD14" s="91"/>
      <c r="AE14" s="146"/>
    </row>
    <row r="15" spans="1:31" x14ac:dyDescent="0.3">
      <c r="A15" s="75" t="s">
        <v>392</v>
      </c>
      <c r="B15" s="24" t="s">
        <v>611</v>
      </c>
      <c r="C15" s="86"/>
      <c r="D15" s="18" t="s">
        <v>487</v>
      </c>
      <c r="E15" s="19" t="s">
        <v>488</v>
      </c>
      <c r="F15" s="20" t="s">
        <v>536</v>
      </c>
      <c r="G15" s="114">
        <v>1</v>
      </c>
      <c r="H15" s="114">
        <v>1</v>
      </c>
      <c r="I15" s="114">
        <v>1</v>
      </c>
      <c r="J15" s="152">
        <v>1</v>
      </c>
      <c r="K15" s="162">
        <v>1</v>
      </c>
      <c r="L15" s="114">
        <v>1</v>
      </c>
      <c r="M15" s="152">
        <v>1</v>
      </c>
      <c r="N15" s="135">
        <v>1</v>
      </c>
      <c r="O15" s="114">
        <v>1</v>
      </c>
      <c r="P15" s="7">
        <v>0.23</v>
      </c>
      <c r="Q15" s="70">
        <f t="shared" si="3"/>
        <v>4.4000000000000004</v>
      </c>
      <c r="R15" s="71">
        <f t="shared" si="4"/>
        <v>10.4</v>
      </c>
      <c r="S15" s="70">
        <f t="shared" si="5"/>
        <v>18</v>
      </c>
      <c r="T15" s="5" t="s">
        <v>137</v>
      </c>
      <c r="U15" s="73" t="s">
        <v>564</v>
      </c>
      <c r="V15" s="47"/>
      <c r="W15" s="46"/>
      <c r="X15" s="123">
        <v>10</v>
      </c>
      <c r="Y15" s="101">
        <f t="shared" si="9"/>
        <v>10</v>
      </c>
      <c r="Z15" s="92"/>
      <c r="AA15" s="143"/>
      <c r="AB15" s="122">
        <v>10</v>
      </c>
      <c r="AC15" s="146">
        <v>10</v>
      </c>
      <c r="AD15" s="91"/>
      <c r="AE15" s="146"/>
    </row>
    <row r="16" spans="1:31" x14ac:dyDescent="0.3">
      <c r="A16" s="75" t="s">
        <v>393</v>
      </c>
      <c r="B16" s="24" t="s">
        <v>612</v>
      </c>
      <c r="C16" s="86"/>
      <c r="D16" s="18" t="s">
        <v>489</v>
      </c>
      <c r="E16" s="19" t="s">
        <v>490</v>
      </c>
      <c r="F16" s="20" t="s">
        <v>537</v>
      </c>
      <c r="G16" s="114">
        <v>1</v>
      </c>
      <c r="H16" s="114">
        <v>1</v>
      </c>
      <c r="I16" s="114">
        <v>1</v>
      </c>
      <c r="J16" s="152">
        <v>1</v>
      </c>
      <c r="K16" s="162">
        <v>1</v>
      </c>
      <c r="L16" s="114">
        <v>1</v>
      </c>
      <c r="M16" s="152">
        <v>1</v>
      </c>
      <c r="N16" s="135">
        <v>1</v>
      </c>
      <c r="O16" s="114">
        <v>1</v>
      </c>
      <c r="P16" s="7">
        <v>0.23</v>
      </c>
      <c r="Q16" s="70">
        <f t="shared" si="3"/>
        <v>4.4000000000000004</v>
      </c>
      <c r="R16" s="71">
        <f t="shared" si="4"/>
        <v>10.4</v>
      </c>
      <c r="S16" s="70">
        <f t="shared" si="5"/>
        <v>18</v>
      </c>
      <c r="T16" s="5" t="s">
        <v>137</v>
      </c>
      <c r="U16" s="73" t="s">
        <v>565</v>
      </c>
      <c r="V16" s="47"/>
      <c r="W16" s="46"/>
      <c r="X16" s="123">
        <v>10</v>
      </c>
      <c r="Y16" s="101">
        <f t="shared" si="9"/>
        <v>10</v>
      </c>
      <c r="Z16" s="92"/>
      <c r="AA16" s="143"/>
      <c r="AB16" s="122">
        <v>10</v>
      </c>
      <c r="AC16" s="146">
        <v>10</v>
      </c>
      <c r="AD16" s="91"/>
      <c r="AE16" s="146"/>
    </row>
    <row r="17" spans="1:31" x14ac:dyDescent="0.3">
      <c r="A17" s="75" t="s">
        <v>398</v>
      </c>
      <c r="B17" s="24" t="s">
        <v>615</v>
      </c>
      <c r="C17" s="86"/>
      <c r="D17" s="18" t="s">
        <v>499</v>
      </c>
      <c r="E17" s="19" t="s">
        <v>66</v>
      </c>
      <c r="F17" s="20" t="s">
        <v>539</v>
      </c>
      <c r="G17" s="114">
        <v>3</v>
      </c>
      <c r="H17" s="114"/>
      <c r="I17" s="114"/>
      <c r="J17" s="152"/>
      <c r="K17" s="162">
        <v>3</v>
      </c>
      <c r="L17" s="114"/>
      <c r="M17" s="152"/>
      <c r="N17" s="135"/>
      <c r="O17" s="114"/>
      <c r="P17" s="7">
        <v>0.5</v>
      </c>
      <c r="Q17" s="70">
        <f t="shared" si="3"/>
        <v>4.9000000000000004</v>
      </c>
      <c r="R17" s="71">
        <f t="shared" si="4"/>
        <v>10.9</v>
      </c>
      <c r="S17" s="70">
        <f t="shared" si="5"/>
        <v>19</v>
      </c>
      <c r="T17" s="5" t="s">
        <v>137</v>
      </c>
      <c r="U17" s="73" t="s">
        <v>567</v>
      </c>
      <c r="V17" s="47"/>
      <c r="W17" s="46"/>
      <c r="X17" s="123">
        <v>9</v>
      </c>
      <c r="Y17" s="101">
        <f t="shared" si="9"/>
        <v>9</v>
      </c>
      <c r="Z17" s="123">
        <v>10</v>
      </c>
      <c r="AA17" s="104">
        <v>10</v>
      </c>
      <c r="AB17" s="91"/>
      <c r="AC17" s="146"/>
      <c r="AD17" s="91"/>
      <c r="AE17" s="146"/>
    </row>
    <row r="18" spans="1:31" x14ac:dyDescent="0.3">
      <c r="A18" s="75" t="s">
        <v>398</v>
      </c>
      <c r="B18" s="24" t="s">
        <v>657</v>
      </c>
      <c r="C18" s="86"/>
      <c r="D18" s="18" t="s">
        <v>65</v>
      </c>
      <c r="E18" s="19" t="s">
        <v>658</v>
      </c>
      <c r="F18" s="20" t="s">
        <v>539</v>
      </c>
      <c r="G18" s="114"/>
      <c r="H18" s="114">
        <v>3</v>
      </c>
      <c r="I18" s="114">
        <v>3</v>
      </c>
      <c r="J18" s="152">
        <v>3</v>
      </c>
      <c r="K18" s="162"/>
      <c r="L18" s="114">
        <v>3</v>
      </c>
      <c r="M18" s="152"/>
      <c r="N18" s="135"/>
      <c r="O18" s="114"/>
      <c r="P18" s="7">
        <v>2.54</v>
      </c>
      <c r="Q18" s="70">
        <f t="shared" si="3"/>
        <v>8.6</v>
      </c>
      <c r="R18" s="71">
        <f t="shared" si="4"/>
        <v>14.6</v>
      </c>
      <c r="S18" s="70">
        <f t="shared" si="5"/>
        <v>25</v>
      </c>
      <c r="T18" s="5" t="s">
        <v>137</v>
      </c>
      <c r="U18" s="73" t="s">
        <v>567</v>
      </c>
      <c r="V18" s="47"/>
      <c r="W18" s="46"/>
      <c r="X18" s="92"/>
      <c r="Y18" s="101"/>
      <c r="Z18" s="123">
        <v>30</v>
      </c>
      <c r="AA18" s="104">
        <v>30</v>
      </c>
      <c r="AB18" s="91"/>
      <c r="AC18" s="146"/>
      <c r="AD18" s="91"/>
      <c r="AE18" s="146"/>
    </row>
    <row r="19" spans="1:31" x14ac:dyDescent="0.3">
      <c r="A19" s="75" t="s">
        <v>398</v>
      </c>
      <c r="B19" s="24" t="s">
        <v>677</v>
      </c>
      <c r="C19" s="86"/>
      <c r="D19" s="18" t="s">
        <v>65</v>
      </c>
      <c r="E19" s="19" t="s">
        <v>678</v>
      </c>
      <c r="F19" s="20" t="s">
        <v>539</v>
      </c>
      <c r="G19" s="114"/>
      <c r="H19" s="114"/>
      <c r="I19" s="114"/>
      <c r="J19" s="152"/>
      <c r="K19" s="162"/>
      <c r="L19" s="114"/>
      <c r="M19" s="152"/>
      <c r="N19" s="135">
        <v>3</v>
      </c>
      <c r="O19" s="114">
        <v>3</v>
      </c>
      <c r="P19" s="7">
        <v>5.87</v>
      </c>
      <c r="Q19" s="70">
        <f t="shared" si="3"/>
        <v>14.6</v>
      </c>
      <c r="R19" s="71">
        <f t="shared" si="4"/>
        <v>20.6</v>
      </c>
      <c r="S19" s="70">
        <f t="shared" si="5"/>
        <v>36</v>
      </c>
      <c r="T19" s="5" t="s">
        <v>137</v>
      </c>
      <c r="U19" s="73" t="s">
        <v>567</v>
      </c>
      <c r="V19" s="47"/>
      <c r="W19" s="46"/>
      <c r="X19" s="92"/>
      <c r="Y19" s="101"/>
      <c r="Z19" s="123">
        <v>12</v>
      </c>
      <c r="AA19" s="104">
        <v>12</v>
      </c>
      <c r="AB19" s="122">
        <v>10</v>
      </c>
      <c r="AC19" s="146">
        <v>10</v>
      </c>
      <c r="AD19" s="91"/>
      <c r="AE19" s="146"/>
    </row>
    <row r="20" spans="1:31" ht="28.8" x14ac:dyDescent="0.3">
      <c r="A20" s="75" t="s">
        <v>384</v>
      </c>
      <c r="B20" s="24" t="s">
        <v>623</v>
      </c>
      <c r="C20" s="86"/>
      <c r="D20" s="18" t="s">
        <v>471</v>
      </c>
      <c r="E20" s="19" t="s">
        <v>472</v>
      </c>
      <c r="F20" s="20" t="s">
        <v>529</v>
      </c>
      <c r="G20" s="114">
        <v>1</v>
      </c>
      <c r="H20" s="114"/>
      <c r="I20" s="114"/>
      <c r="J20" s="152"/>
      <c r="K20" s="162"/>
      <c r="L20" s="114"/>
      <c r="M20" s="152"/>
      <c r="N20" s="135"/>
      <c r="O20" s="114"/>
      <c r="P20" s="7">
        <v>30.8</v>
      </c>
      <c r="Q20" s="70">
        <f t="shared" si="3"/>
        <v>59.4</v>
      </c>
      <c r="R20" s="71">
        <f t="shared" si="4"/>
        <v>65.400000000000006</v>
      </c>
      <c r="S20" s="70">
        <f t="shared" si="5"/>
        <v>114</v>
      </c>
      <c r="T20" s="5" t="s">
        <v>136</v>
      </c>
      <c r="U20" s="73"/>
      <c r="V20" s="47"/>
      <c r="W20" s="46"/>
      <c r="X20" s="91"/>
      <c r="Z20" s="91"/>
      <c r="AA20" s="143"/>
      <c r="AB20" s="91"/>
      <c r="AC20" s="146"/>
      <c r="AD20" s="91"/>
      <c r="AE20" s="146"/>
    </row>
    <row r="21" spans="1:31" ht="28.8" x14ac:dyDescent="0.3">
      <c r="A21" s="75" t="s">
        <v>384</v>
      </c>
      <c r="B21" s="163" t="s">
        <v>1033</v>
      </c>
      <c r="C21" s="86"/>
      <c r="D21" s="18" t="s">
        <v>660</v>
      </c>
      <c r="E21" s="19" t="s">
        <v>472</v>
      </c>
      <c r="F21" s="20" t="s">
        <v>529</v>
      </c>
      <c r="G21" s="114"/>
      <c r="H21" s="114"/>
      <c r="I21" s="114"/>
      <c r="J21" s="152"/>
      <c r="K21" s="162">
        <v>1</v>
      </c>
      <c r="L21" s="114"/>
      <c r="M21" s="152"/>
      <c r="N21" s="135"/>
      <c r="O21" s="114"/>
      <c r="P21" s="7">
        <v>32.380000000000003</v>
      </c>
      <c r="Q21" s="70">
        <f t="shared" ref="Q21" si="10">ROUND((P21*1.2*1.5+4)*10,0)/10</f>
        <v>62.3</v>
      </c>
      <c r="R21" s="71">
        <f t="shared" ref="R21" si="11">ROUND((P21*1.2*1.5+10)*10,0)/10</f>
        <v>68.3</v>
      </c>
      <c r="S21" s="70">
        <f t="shared" ref="S21" si="12">ROUND(R21/0.7*1.22,0)</f>
        <v>119</v>
      </c>
      <c r="T21" s="5" t="s">
        <v>136</v>
      </c>
      <c r="U21" s="73"/>
      <c r="V21" s="47"/>
      <c r="W21" s="46"/>
      <c r="X21" s="91"/>
      <c r="Z21" s="91"/>
      <c r="AA21" s="143"/>
      <c r="AB21" s="91"/>
      <c r="AC21" s="146"/>
      <c r="AD21" s="122">
        <v>1</v>
      </c>
      <c r="AE21" s="146">
        <v>1</v>
      </c>
    </row>
    <row r="22" spans="1:31" ht="28.8" x14ac:dyDescent="0.3">
      <c r="A22" s="75" t="s">
        <v>384</v>
      </c>
      <c r="B22" s="24" t="s">
        <v>659</v>
      </c>
      <c r="C22" s="86"/>
      <c r="D22" s="18" t="s">
        <v>660</v>
      </c>
      <c r="E22" s="19" t="s">
        <v>472</v>
      </c>
      <c r="F22" s="20" t="s">
        <v>529</v>
      </c>
      <c r="G22" s="114"/>
      <c r="H22" s="114">
        <v>1</v>
      </c>
      <c r="I22" s="114"/>
      <c r="J22" s="152"/>
      <c r="K22" s="162"/>
      <c r="L22" s="114"/>
      <c r="M22" s="152"/>
      <c r="N22" s="135"/>
      <c r="O22" s="114"/>
      <c r="P22" s="7">
        <v>30.71</v>
      </c>
      <c r="Q22" s="70">
        <f t="shared" si="3"/>
        <v>59.3</v>
      </c>
      <c r="R22" s="71">
        <f t="shared" si="4"/>
        <v>65.3</v>
      </c>
      <c r="S22" s="70">
        <f t="shared" si="5"/>
        <v>114</v>
      </c>
      <c r="T22" s="5" t="s">
        <v>136</v>
      </c>
      <c r="U22" s="73"/>
      <c r="V22" s="47"/>
      <c r="W22" s="46"/>
      <c r="X22" s="91"/>
      <c r="Z22" s="91"/>
      <c r="AA22" s="143"/>
      <c r="AB22" s="91"/>
      <c r="AC22" s="146"/>
      <c r="AD22" s="91"/>
      <c r="AE22" s="146"/>
    </row>
    <row r="23" spans="1:31" ht="24.75" customHeight="1" x14ac:dyDescent="0.3">
      <c r="A23" s="75" t="s">
        <v>384</v>
      </c>
      <c r="B23" s="24" t="s">
        <v>672</v>
      </c>
      <c r="C23" s="86"/>
      <c r="D23" s="18" t="s">
        <v>660</v>
      </c>
      <c r="E23" s="19" t="s">
        <v>472</v>
      </c>
      <c r="F23" s="20" t="s">
        <v>529</v>
      </c>
      <c r="G23" s="114"/>
      <c r="H23" s="114"/>
      <c r="I23" s="114">
        <v>1</v>
      </c>
      <c r="J23" s="152">
        <v>1</v>
      </c>
      <c r="K23" s="162"/>
      <c r="L23" s="114"/>
      <c r="M23" s="152"/>
      <c r="N23" s="135"/>
      <c r="O23" s="114"/>
      <c r="P23" s="7">
        <v>20.25</v>
      </c>
      <c r="Q23" s="70">
        <f t="shared" si="3"/>
        <v>40.5</v>
      </c>
      <c r="R23" s="71">
        <f t="shared" si="4"/>
        <v>46.5</v>
      </c>
      <c r="S23" s="70">
        <f t="shared" si="5"/>
        <v>81</v>
      </c>
      <c r="T23" s="5" t="s">
        <v>136</v>
      </c>
      <c r="U23" s="73"/>
      <c r="V23" s="47"/>
      <c r="W23" s="46"/>
      <c r="X23" s="91"/>
      <c r="Z23" s="91"/>
      <c r="AA23" s="143"/>
      <c r="AB23" s="122">
        <v>2</v>
      </c>
      <c r="AC23" s="146">
        <v>2</v>
      </c>
      <c r="AD23" s="91"/>
      <c r="AE23" s="146"/>
    </row>
    <row r="24" spans="1:31" ht="24.75" customHeight="1" x14ac:dyDescent="0.3">
      <c r="A24" s="75" t="s">
        <v>384</v>
      </c>
      <c r="B24" s="156" t="s">
        <v>978</v>
      </c>
      <c r="C24" s="86"/>
      <c r="D24" s="18" t="s">
        <v>660</v>
      </c>
      <c r="E24" s="19" t="s">
        <v>472</v>
      </c>
      <c r="F24" s="20" t="s">
        <v>529</v>
      </c>
      <c r="G24" s="114"/>
      <c r="H24" s="114"/>
      <c r="I24" s="114"/>
      <c r="J24" s="152"/>
      <c r="K24" s="162"/>
      <c r="L24" s="114">
        <v>1</v>
      </c>
      <c r="M24" s="152"/>
      <c r="N24" s="135"/>
      <c r="O24" s="114"/>
      <c r="P24" s="155">
        <v>20.25</v>
      </c>
      <c r="Q24" s="70">
        <f t="shared" si="3"/>
        <v>40.5</v>
      </c>
      <c r="R24" s="71">
        <f t="shared" si="4"/>
        <v>46.5</v>
      </c>
      <c r="S24" s="70">
        <f t="shared" ref="S24" si="13">ROUND(R24/0.7*1.22,0)</f>
        <v>81</v>
      </c>
      <c r="T24" s="5" t="s">
        <v>136</v>
      </c>
      <c r="U24" s="73"/>
      <c r="V24" s="47"/>
      <c r="W24" s="46"/>
      <c r="X24" s="91"/>
      <c r="Z24" s="91"/>
      <c r="AA24" s="143"/>
      <c r="AB24" s="122">
        <v>5</v>
      </c>
      <c r="AC24" s="146">
        <v>5</v>
      </c>
      <c r="AD24" s="91"/>
      <c r="AE24" s="146"/>
    </row>
    <row r="25" spans="1:31" ht="24.75" customHeight="1" x14ac:dyDescent="0.3">
      <c r="A25" s="75" t="s">
        <v>384</v>
      </c>
      <c r="B25" s="24" t="s">
        <v>679</v>
      </c>
      <c r="C25" s="86"/>
      <c r="D25" s="18" t="s">
        <v>660</v>
      </c>
      <c r="E25" s="19" t="s">
        <v>472</v>
      </c>
      <c r="F25" s="20" t="s">
        <v>529</v>
      </c>
      <c r="G25" s="114"/>
      <c r="H25" s="114"/>
      <c r="I25" s="114"/>
      <c r="J25" s="152"/>
      <c r="K25" s="162"/>
      <c r="L25" s="114"/>
      <c r="M25" s="152"/>
      <c r="N25" s="136">
        <v>1</v>
      </c>
      <c r="O25" s="114">
        <v>1</v>
      </c>
      <c r="P25" s="7">
        <v>15.56</v>
      </c>
      <c r="Q25" s="70">
        <f t="shared" si="3"/>
        <v>32</v>
      </c>
      <c r="R25" s="71">
        <f t="shared" si="4"/>
        <v>38</v>
      </c>
      <c r="S25" s="70">
        <f t="shared" si="5"/>
        <v>66</v>
      </c>
      <c r="T25" s="5" t="s">
        <v>136</v>
      </c>
      <c r="U25" s="73"/>
      <c r="V25" s="47"/>
      <c r="W25" s="46"/>
      <c r="X25" s="91"/>
      <c r="Z25" s="91"/>
      <c r="AA25" s="143"/>
      <c r="AB25" s="122">
        <v>2</v>
      </c>
      <c r="AC25" s="146">
        <v>2</v>
      </c>
      <c r="AD25" s="91"/>
      <c r="AE25" s="146"/>
    </row>
    <row r="26" spans="1:31" x14ac:dyDescent="0.3">
      <c r="A26" s="75" t="s">
        <v>388</v>
      </c>
      <c r="B26" s="24" t="s">
        <v>608</v>
      </c>
      <c r="C26" s="86"/>
      <c r="D26" s="18" t="s">
        <v>479</v>
      </c>
      <c r="E26" s="19" t="s">
        <v>480</v>
      </c>
      <c r="F26" s="20" t="s">
        <v>532</v>
      </c>
      <c r="G26" s="114">
        <v>1</v>
      </c>
      <c r="H26" s="114">
        <v>1</v>
      </c>
      <c r="I26" s="114">
        <v>1</v>
      </c>
      <c r="J26" s="152">
        <v>1</v>
      </c>
      <c r="K26" s="162"/>
      <c r="L26" s="114">
        <v>1</v>
      </c>
      <c r="M26" s="152">
        <v>1</v>
      </c>
      <c r="N26" s="135"/>
      <c r="O26" s="114"/>
      <c r="P26" s="7">
        <v>7.68</v>
      </c>
      <c r="Q26" s="70">
        <f t="shared" si="3"/>
        <v>17.8</v>
      </c>
      <c r="R26" s="71">
        <f t="shared" si="4"/>
        <v>23.8</v>
      </c>
      <c r="S26" s="70">
        <f t="shared" si="5"/>
        <v>41</v>
      </c>
      <c r="T26" s="5" t="s">
        <v>136</v>
      </c>
      <c r="U26" s="73" t="s">
        <v>560</v>
      </c>
      <c r="V26" s="47"/>
      <c r="W26" s="46"/>
      <c r="X26" s="122">
        <v>5</v>
      </c>
      <c r="Y26" s="101">
        <f t="shared" ref="Y26:Y62" si="14">X26</f>
        <v>5</v>
      </c>
      <c r="Z26" s="122">
        <v>8</v>
      </c>
      <c r="AA26" s="104">
        <v>8</v>
      </c>
      <c r="AB26" s="122">
        <v>20</v>
      </c>
      <c r="AC26" s="146">
        <v>20</v>
      </c>
      <c r="AD26" s="91"/>
      <c r="AE26" s="146"/>
    </row>
    <row r="27" spans="1:31" x14ac:dyDescent="0.3">
      <c r="A27" s="75" t="s">
        <v>388</v>
      </c>
      <c r="B27" s="163" t="s">
        <v>1034</v>
      </c>
      <c r="C27" s="86"/>
      <c r="D27" s="18" t="s">
        <v>681</v>
      </c>
      <c r="E27" s="19" t="s">
        <v>1035</v>
      </c>
      <c r="F27" s="20" t="s">
        <v>532</v>
      </c>
      <c r="G27" s="114"/>
      <c r="H27" s="114"/>
      <c r="I27" s="114"/>
      <c r="J27" s="152"/>
      <c r="K27" s="162">
        <v>1</v>
      </c>
      <c r="L27" s="114"/>
      <c r="M27" s="152"/>
      <c r="N27" s="135"/>
      <c r="O27" s="114"/>
      <c r="P27" s="7">
        <v>3.8</v>
      </c>
      <c r="Q27" s="70">
        <f t="shared" ref="Q27" si="15">ROUND((P27*1.2*1.5+4)*10,0)/10</f>
        <v>10.8</v>
      </c>
      <c r="R27" s="71">
        <f t="shared" ref="R27" si="16">ROUND((P27*1.2*1.5+10)*10,0)/10</f>
        <v>16.8</v>
      </c>
      <c r="S27" s="70">
        <f t="shared" ref="S27" si="17">ROUND(R27/0.7*1.22,0)</f>
        <v>29</v>
      </c>
      <c r="T27" s="5" t="s">
        <v>136</v>
      </c>
      <c r="U27" s="73" t="s">
        <v>560</v>
      </c>
      <c r="V27" s="47"/>
      <c r="W27" s="46"/>
      <c r="X27" s="153"/>
      <c r="Y27" s="101"/>
      <c r="Z27" s="153"/>
      <c r="AA27" s="104"/>
      <c r="AB27" s="91"/>
      <c r="AC27" s="146"/>
      <c r="AD27" s="122">
        <v>1</v>
      </c>
      <c r="AE27" s="146">
        <v>1</v>
      </c>
    </row>
    <row r="28" spans="1:31" x14ac:dyDescent="0.3">
      <c r="A28" s="75" t="s">
        <v>388</v>
      </c>
      <c r="B28" s="24" t="s">
        <v>680</v>
      </c>
      <c r="C28" s="86"/>
      <c r="D28" s="18" t="s">
        <v>681</v>
      </c>
      <c r="E28" s="19" t="s">
        <v>480</v>
      </c>
      <c r="F28" s="20" t="s">
        <v>532</v>
      </c>
      <c r="G28" s="114"/>
      <c r="H28" s="114"/>
      <c r="I28" s="114"/>
      <c r="J28" s="152"/>
      <c r="K28" s="162"/>
      <c r="L28" s="114"/>
      <c r="M28" s="152"/>
      <c r="N28" s="135">
        <v>1</v>
      </c>
      <c r="O28" s="114">
        <v>1</v>
      </c>
      <c r="P28" s="7">
        <v>3.17</v>
      </c>
      <c r="Q28" s="70">
        <f t="shared" si="3"/>
        <v>9.6999999999999993</v>
      </c>
      <c r="R28" s="71">
        <f t="shared" si="4"/>
        <v>15.7</v>
      </c>
      <c r="S28" s="70">
        <f t="shared" si="5"/>
        <v>27</v>
      </c>
      <c r="T28" s="5" t="s">
        <v>136</v>
      </c>
      <c r="U28" s="73" t="s">
        <v>560</v>
      </c>
      <c r="V28" s="47"/>
      <c r="W28" s="46"/>
      <c r="X28" s="91"/>
      <c r="Y28" s="101"/>
      <c r="Z28" s="122">
        <v>5</v>
      </c>
      <c r="AA28" s="104">
        <v>5</v>
      </c>
      <c r="AB28" s="91"/>
      <c r="AC28" s="146"/>
      <c r="AD28" s="91"/>
      <c r="AE28" s="146"/>
    </row>
    <row r="29" spans="1:31" x14ac:dyDescent="0.3">
      <c r="A29" s="75" t="s">
        <v>389</v>
      </c>
      <c r="B29" s="24" t="s">
        <v>609</v>
      </c>
      <c r="C29" s="86"/>
      <c r="D29" s="18" t="s">
        <v>481</v>
      </c>
      <c r="E29" s="19" t="s">
        <v>482</v>
      </c>
      <c r="F29" s="20" t="s">
        <v>533</v>
      </c>
      <c r="G29" s="114">
        <v>1</v>
      </c>
      <c r="H29" s="114">
        <v>1</v>
      </c>
      <c r="I29" s="114">
        <v>1</v>
      </c>
      <c r="J29" s="152">
        <v>1</v>
      </c>
      <c r="K29" s="162">
        <v>1</v>
      </c>
      <c r="L29" s="114">
        <v>1</v>
      </c>
      <c r="M29" s="152"/>
      <c r="N29" s="135">
        <v>1</v>
      </c>
      <c r="O29" s="114">
        <v>1</v>
      </c>
      <c r="P29" s="7">
        <v>4.76</v>
      </c>
      <c r="Q29" s="70">
        <f t="shared" si="3"/>
        <v>12.6</v>
      </c>
      <c r="R29" s="71">
        <f t="shared" si="4"/>
        <v>18.600000000000001</v>
      </c>
      <c r="S29" s="70">
        <f t="shared" si="5"/>
        <v>32</v>
      </c>
      <c r="T29" s="5" t="s">
        <v>136</v>
      </c>
      <c r="U29" s="73" t="s">
        <v>561</v>
      </c>
      <c r="V29" s="47"/>
      <c r="W29" s="46"/>
      <c r="X29" s="122">
        <v>5</v>
      </c>
      <c r="Y29" s="101">
        <f t="shared" si="14"/>
        <v>5</v>
      </c>
      <c r="Z29" s="122">
        <v>20</v>
      </c>
      <c r="AA29" s="104">
        <v>20</v>
      </c>
      <c r="AB29" s="122">
        <v>5</v>
      </c>
      <c r="AC29" s="146">
        <v>5</v>
      </c>
      <c r="AD29" s="91"/>
      <c r="AE29" s="146"/>
    </row>
    <row r="30" spans="1:31" x14ac:dyDescent="0.3">
      <c r="A30" s="75" t="s">
        <v>390</v>
      </c>
      <c r="B30" s="24" t="s">
        <v>610</v>
      </c>
      <c r="C30" s="86"/>
      <c r="D30" s="18" t="s">
        <v>483</v>
      </c>
      <c r="E30" s="19" t="s">
        <v>484</v>
      </c>
      <c r="F30" s="20" t="s">
        <v>534</v>
      </c>
      <c r="G30" s="114">
        <v>1</v>
      </c>
      <c r="H30" s="114">
        <v>1</v>
      </c>
      <c r="I30" s="114">
        <v>1</v>
      </c>
      <c r="J30" s="152">
        <v>1</v>
      </c>
      <c r="K30" s="162">
        <v>1</v>
      </c>
      <c r="L30" s="114">
        <v>1</v>
      </c>
      <c r="M30" s="152"/>
      <c r="N30" s="135">
        <v>1</v>
      </c>
      <c r="O30" s="114">
        <v>1</v>
      </c>
      <c r="P30" s="7">
        <v>1.2</v>
      </c>
      <c r="Q30" s="70">
        <f t="shared" si="3"/>
        <v>6.2</v>
      </c>
      <c r="R30" s="71">
        <f t="shared" si="4"/>
        <v>12.2</v>
      </c>
      <c r="S30" s="70">
        <f t="shared" si="5"/>
        <v>21</v>
      </c>
      <c r="T30" s="5" t="s">
        <v>136</v>
      </c>
      <c r="U30" s="73" t="s">
        <v>562</v>
      </c>
      <c r="V30" s="47"/>
      <c r="W30" s="46"/>
      <c r="X30" s="122">
        <v>5</v>
      </c>
      <c r="Y30" s="101">
        <f t="shared" si="14"/>
        <v>5</v>
      </c>
      <c r="Z30" s="91"/>
      <c r="AA30" s="143"/>
      <c r="AB30" s="91"/>
      <c r="AC30" s="146"/>
      <c r="AD30" s="91"/>
      <c r="AE30" s="146"/>
    </row>
    <row r="31" spans="1:31" ht="43.2" x14ac:dyDescent="0.3">
      <c r="A31" s="76" t="s">
        <v>391</v>
      </c>
      <c r="B31" s="24" t="s">
        <v>510</v>
      </c>
      <c r="C31" s="86"/>
      <c r="D31" s="18" t="s">
        <v>485</v>
      </c>
      <c r="E31" s="19" t="s">
        <v>486</v>
      </c>
      <c r="F31" s="20" t="s">
        <v>535</v>
      </c>
      <c r="G31" s="114">
        <v>1</v>
      </c>
      <c r="H31" s="114"/>
      <c r="I31" s="114"/>
      <c r="J31" s="152"/>
      <c r="K31" s="162"/>
      <c r="L31" s="114"/>
      <c r="M31" s="152"/>
      <c r="N31" s="135"/>
      <c r="O31" s="114"/>
      <c r="P31" s="7">
        <v>10.55</v>
      </c>
      <c r="Q31" s="70">
        <f t="shared" si="3"/>
        <v>23</v>
      </c>
      <c r="R31" s="71">
        <f t="shared" si="4"/>
        <v>29</v>
      </c>
      <c r="S31" s="70">
        <f t="shared" si="5"/>
        <v>51</v>
      </c>
      <c r="T31" s="5" t="s">
        <v>136</v>
      </c>
      <c r="U31" s="113" t="s">
        <v>563</v>
      </c>
      <c r="V31" s="47"/>
      <c r="W31" s="46"/>
      <c r="X31" s="122">
        <v>5</v>
      </c>
      <c r="Y31" s="102">
        <f t="shared" si="14"/>
        <v>5</v>
      </c>
      <c r="Z31" s="91"/>
      <c r="AA31" s="143"/>
      <c r="AB31" s="91"/>
      <c r="AC31" s="146"/>
      <c r="AD31" s="91"/>
      <c r="AE31" s="146"/>
    </row>
    <row r="32" spans="1:31" ht="21.75" customHeight="1" x14ac:dyDescent="0.3">
      <c r="A32" s="76" t="s">
        <v>1019</v>
      </c>
      <c r="B32" s="163" t="s">
        <v>1036</v>
      </c>
      <c r="C32" s="86"/>
      <c r="D32" s="18" t="s">
        <v>662</v>
      </c>
      <c r="E32" s="19" t="s">
        <v>663</v>
      </c>
      <c r="F32" s="20" t="s">
        <v>535</v>
      </c>
      <c r="G32" s="114"/>
      <c r="H32" s="114"/>
      <c r="I32" s="114"/>
      <c r="J32" s="152"/>
      <c r="K32" s="162">
        <v>1</v>
      </c>
      <c r="L32" s="114"/>
      <c r="M32" s="152"/>
      <c r="N32" s="135"/>
      <c r="O32" s="114"/>
      <c r="P32" s="7">
        <v>13.12</v>
      </c>
      <c r="Q32" s="70">
        <f t="shared" ref="Q32" si="18">ROUND((P32*1.2*1.5+4)*10,0)/10</f>
        <v>27.6</v>
      </c>
      <c r="R32" s="71">
        <f t="shared" ref="R32" si="19">ROUND((P32*1.2*1.5+10)*10,0)/10</f>
        <v>33.6</v>
      </c>
      <c r="S32" s="70">
        <f t="shared" ref="S32" si="20">ROUND(R32/0.7*1.22,0)</f>
        <v>59</v>
      </c>
      <c r="T32" s="5" t="s">
        <v>136</v>
      </c>
      <c r="U32" s="113" t="s">
        <v>563</v>
      </c>
      <c r="V32" s="47"/>
      <c r="W32" s="46"/>
      <c r="X32" s="153"/>
      <c r="Y32" s="102"/>
      <c r="Z32" s="91"/>
      <c r="AA32" s="143"/>
      <c r="AB32" s="91"/>
      <c r="AC32" s="146"/>
      <c r="AD32" s="122">
        <v>1</v>
      </c>
      <c r="AE32" s="146">
        <v>1</v>
      </c>
    </row>
    <row r="33" spans="1:31" ht="39.6" x14ac:dyDescent="0.3">
      <c r="A33" s="76" t="s">
        <v>391</v>
      </c>
      <c r="B33" s="24" t="s">
        <v>661</v>
      </c>
      <c r="C33" s="86"/>
      <c r="D33" s="18" t="s">
        <v>662</v>
      </c>
      <c r="E33" s="19" t="s">
        <v>663</v>
      </c>
      <c r="F33" s="20" t="s">
        <v>535</v>
      </c>
      <c r="G33" s="114"/>
      <c r="H33" s="114">
        <v>1</v>
      </c>
      <c r="I33" s="114"/>
      <c r="J33" s="152"/>
      <c r="K33" s="162"/>
      <c r="L33" s="114"/>
      <c r="M33" s="152"/>
      <c r="N33" s="135"/>
      <c r="O33" s="114"/>
      <c r="P33" s="7">
        <v>3.21</v>
      </c>
      <c r="Q33" s="70">
        <f t="shared" si="3"/>
        <v>9.8000000000000007</v>
      </c>
      <c r="R33" s="71">
        <f t="shared" si="4"/>
        <v>15.8</v>
      </c>
      <c r="S33" s="70">
        <f t="shared" si="5"/>
        <v>28</v>
      </c>
      <c r="T33" s="5" t="s">
        <v>136</v>
      </c>
      <c r="U33" s="113" t="s">
        <v>563</v>
      </c>
      <c r="V33" s="47"/>
      <c r="W33" s="46"/>
      <c r="X33" s="91"/>
      <c r="Y33" s="102"/>
      <c r="Z33" s="122">
        <v>6</v>
      </c>
      <c r="AA33" s="146">
        <v>6</v>
      </c>
      <c r="AB33" s="91"/>
      <c r="AC33" s="146"/>
      <c r="AD33" s="91"/>
      <c r="AE33" s="146"/>
    </row>
    <row r="34" spans="1:31" ht="39.6" x14ac:dyDescent="0.3">
      <c r="A34" s="76" t="s">
        <v>391</v>
      </c>
      <c r="B34" s="24" t="s">
        <v>673</v>
      </c>
      <c r="C34" s="86"/>
      <c r="D34" s="18" t="s">
        <v>662</v>
      </c>
      <c r="E34" s="19" t="s">
        <v>663</v>
      </c>
      <c r="F34" s="20" t="s">
        <v>535</v>
      </c>
      <c r="G34" s="114"/>
      <c r="H34" s="114"/>
      <c r="I34" s="114">
        <v>1</v>
      </c>
      <c r="J34" s="152"/>
      <c r="K34" s="162"/>
      <c r="L34" s="114"/>
      <c r="M34" s="152"/>
      <c r="N34" s="135"/>
      <c r="O34" s="114"/>
      <c r="P34" s="7">
        <v>10.46</v>
      </c>
      <c r="Q34" s="70">
        <f t="shared" si="3"/>
        <v>22.8</v>
      </c>
      <c r="R34" s="71">
        <f t="shared" si="4"/>
        <v>28.8</v>
      </c>
      <c r="S34" s="70">
        <f t="shared" si="5"/>
        <v>50</v>
      </c>
      <c r="T34" s="5" t="s">
        <v>136</v>
      </c>
      <c r="U34" s="113" t="s">
        <v>563</v>
      </c>
      <c r="V34" s="47"/>
      <c r="W34" s="46"/>
      <c r="X34" s="91"/>
      <c r="Y34" s="102"/>
      <c r="Z34" s="122">
        <v>4</v>
      </c>
      <c r="AA34" s="146">
        <v>4</v>
      </c>
      <c r="AB34" s="91"/>
      <c r="AC34" s="146"/>
      <c r="AD34" s="91"/>
      <c r="AE34" s="146"/>
    </row>
    <row r="35" spans="1:31" ht="39.6" x14ac:dyDescent="0.3">
      <c r="A35" s="76" t="s">
        <v>391</v>
      </c>
      <c r="B35" s="24" t="s">
        <v>675</v>
      </c>
      <c r="C35" s="86"/>
      <c r="D35" s="18" t="s">
        <v>662</v>
      </c>
      <c r="E35" s="19" t="s">
        <v>663</v>
      </c>
      <c r="F35" s="20" t="s">
        <v>535</v>
      </c>
      <c r="G35" s="114"/>
      <c r="H35" s="114"/>
      <c r="I35" s="114"/>
      <c r="J35" s="152">
        <v>1</v>
      </c>
      <c r="K35" s="162"/>
      <c r="L35" s="114"/>
      <c r="M35" s="152"/>
      <c r="N35" s="135"/>
      <c r="O35" s="114"/>
      <c r="P35" s="7">
        <v>10.46</v>
      </c>
      <c r="Q35" s="70">
        <f t="shared" si="3"/>
        <v>22.8</v>
      </c>
      <c r="R35" s="71">
        <f t="shared" si="4"/>
        <v>28.8</v>
      </c>
      <c r="S35" s="70">
        <f t="shared" ref="S35" si="21">ROUND(R35/0.7*1.22,0)</f>
        <v>50</v>
      </c>
      <c r="T35" s="5" t="s">
        <v>136</v>
      </c>
      <c r="U35" s="113" t="s">
        <v>563</v>
      </c>
      <c r="V35" s="47"/>
      <c r="W35" s="46"/>
      <c r="X35" s="91"/>
      <c r="Y35" s="102"/>
      <c r="Z35" s="122">
        <v>3</v>
      </c>
      <c r="AA35" s="146">
        <v>3</v>
      </c>
      <c r="AB35" s="91"/>
      <c r="AC35" s="146"/>
      <c r="AD35" s="91"/>
      <c r="AE35" s="146"/>
    </row>
    <row r="36" spans="1:31" ht="39.6" x14ac:dyDescent="0.3">
      <c r="A36" s="76" t="s">
        <v>391</v>
      </c>
      <c r="B36" s="24" t="s">
        <v>682</v>
      </c>
      <c r="C36" s="86"/>
      <c r="D36" s="18" t="s">
        <v>662</v>
      </c>
      <c r="E36" s="19" t="s">
        <v>663</v>
      </c>
      <c r="F36" s="20" t="s">
        <v>535</v>
      </c>
      <c r="G36" s="114"/>
      <c r="H36" s="114"/>
      <c r="I36" s="114"/>
      <c r="J36" s="152"/>
      <c r="K36" s="162"/>
      <c r="L36" s="114"/>
      <c r="M36" s="152"/>
      <c r="N36" s="135">
        <v>1</v>
      </c>
      <c r="O36" s="114">
        <v>1</v>
      </c>
      <c r="P36" s="7">
        <v>10.46</v>
      </c>
      <c r="Q36" s="70">
        <f t="shared" si="3"/>
        <v>22.8</v>
      </c>
      <c r="R36" s="71">
        <f t="shared" si="4"/>
        <v>28.8</v>
      </c>
      <c r="S36" s="70">
        <f t="shared" ref="S36" si="22">ROUND(R36/0.7*1.22,0)</f>
        <v>50</v>
      </c>
      <c r="T36" s="5" t="s">
        <v>136</v>
      </c>
      <c r="U36" s="113" t="s">
        <v>563</v>
      </c>
      <c r="V36" s="47"/>
      <c r="W36" s="46"/>
      <c r="X36" s="91"/>
      <c r="Y36" s="102"/>
      <c r="Z36" s="122">
        <v>4</v>
      </c>
      <c r="AA36" s="146">
        <v>4</v>
      </c>
      <c r="AB36" s="91"/>
      <c r="AC36" s="146"/>
      <c r="AD36" s="91"/>
      <c r="AE36" s="146"/>
    </row>
    <row r="37" spans="1:31" x14ac:dyDescent="0.3">
      <c r="A37" s="75" t="s">
        <v>397</v>
      </c>
      <c r="B37" s="24" t="s">
        <v>512</v>
      </c>
      <c r="C37" s="86"/>
      <c r="D37" s="18" t="s">
        <v>497</v>
      </c>
      <c r="E37" s="19" t="s">
        <v>498</v>
      </c>
      <c r="F37" s="20" t="s">
        <v>538</v>
      </c>
      <c r="G37" s="114">
        <v>1</v>
      </c>
      <c r="H37" s="114"/>
      <c r="I37" s="114"/>
      <c r="J37" s="152"/>
      <c r="K37" s="162"/>
      <c r="L37" s="114"/>
      <c r="M37" s="152"/>
      <c r="N37" s="135"/>
      <c r="O37" s="114"/>
      <c r="P37" s="7">
        <v>3.57</v>
      </c>
      <c r="Q37" s="70">
        <f t="shared" si="3"/>
        <v>10.4</v>
      </c>
      <c r="R37" s="71">
        <f t="shared" si="4"/>
        <v>16.399999999999999</v>
      </c>
      <c r="S37" s="70">
        <f t="shared" si="5"/>
        <v>29</v>
      </c>
      <c r="T37" s="5" t="s">
        <v>136</v>
      </c>
      <c r="U37" s="73" t="s">
        <v>566</v>
      </c>
      <c r="V37" s="47"/>
      <c r="W37" s="46"/>
      <c r="X37" s="122">
        <v>5</v>
      </c>
      <c r="Y37" s="101">
        <f t="shared" si="14"/>
        <v>5</v>
      </c>
      <c r="Z37" s="91"/>
      <c r="AA37" s="143"/>
      <c r="AB37" s="91"/>
      <c r="AC37" s="146"/>
      <c r="AD37" s="91"/>
      <c r="AE37" s="146"/>
    </row>
    <row r="38" spans="1:31" ht="18" customHeight="1" x14ac:dyDescent="0.3">
      <c r="A38" s="75" t="s">
        <v>397</v>
      </c>
      <c r="B38" s="163" t="s">
        <v>1029</v>
      </c>
      <c r="C38" s="86"/>
      <c r="D38" s="18" t="s">
        <v>665</v>
      </c>
      <c r="E38" s="19" t="s">
        <v>1030</v>
      </c>
      <c r="F38" s="20" t="s">
        <v>538</v>
      </c>
      <c r="G38" s="114"/>
      <c r="H38" s="114"/>
      <c r="I38" s="114"/>
      <c r="J38" s="152"/>
      <c r="K38" s="162">
        <v>1</v>
      </c>
      <c r="L38" s="114"/>
      <c r="M38" s="152"/>
      <c r="N38" s="135"/>
      <c r="O38" s="114"/>
      <c r="P38" s="7">
        <v>4.62</v>
      </c>
      <c r="Q38" s="70">
        <f t="shared" ref="Q38" si="23">ROUND((P38*1.2*1.5+4)*10,0)/10</f>
        <v>12.3</v>
      </c>
      <c r="R38" s="71">
        <f t="shared" ref="R38" si="24">ROUND((P38*1.2*1.5+10)*10,0)/10</f>
        <v>18.3</v>
      </c>
      <c r="S38" s="70">
        <f t="shared" ref="S38" si="25">ROUND(R38/0.7*1.22,0)</f>
        <v>32</v>
      </c>
      <c r="T38" s="5" t="s">
        <v>136</v>
      </c>
      <c r="U38" s="73" t="s">
        <v>566</v>
      </c>
      <c r="V38" s="47"/>
      <c r="W38" s="46"/>
      <c r="X38" s="153"/>
      <c r="Y38" s="101"/>
      <c r="Z38" s="91"/>
      <c r="AA38" s="143"/>
      <c r="AB38" s="91"/>
      <c r="AC38" s="146"/>
      <c r="AD38" s="122">
        <v>1</v>
      </c>
      <c r="AE38" s="146">
        <v>1</v>
      </c>
    </row>
    <row r="39" spans="1:31" x14ac:dyDescent="0.3">
      <c r="A39" s="75" t="s">
        <v>397</v>
      </c>
      <c r="B39" s="24" t="s">
        <v>664</v>
      </c>
      <c r="C39" s="86"/>
      <c r="D39" s="18" t="s">
        <v>665</v>
      </c>
      <c r="E39" s="19" t="s">
        <v>666</v>
      </c>
      <c r="F39" s="20" t="s">
        <v>538</v>
      </c>
      <c r="G39" s="114"/>
      <c r="H39" s="114">
        <v>1</v>
      </c>
      <c r="I39" s="114"/>
      <c r="J39" s="152"/>
      <c r="K39" s="162"/>
      <c r="L39" s="114"/>
      <c r="M39" s="152"/>
      <c r="N39" s="135"/>
      <c r="O39" s="114"/>
      <c r="P39" s="7">
        <v>21.09</v>
      </c>
      <c r="Q39" s="70">
        <f t="shared" si="3"/>
        <v>42</v>
      </c>
      <c r="R39" s="71">
        <f t="shared" si="4"/>
        <v>48</v>
      </c>
      <c r="S39" s="70">
        <f t="shared" si="5"/>
        <v>84</v>
      </c>
      <c r="T39" s="5" t="s">
        <v>136</v>
      </c>
      <c r="U39" s="73" t="s">
        <v>566</v>
      </c>
      <c r="V39" s="47"/>
      <c r="W39" s="46"/>
      <c r="X39" s="91"/>
      <c r="Y39" s="101"/>
      <c r="Z39" s="122">
        <v>3</v>
      </c>
      <c r="AA39" s="104">
        <v>3</v>
      </c>
      <c r="AB39" s="91"/>
      <c r="AC39" s="146"/>
      <c r="AD39" s="91"/>
      <c r="AE39" s="146"/>
    </row>
    <row r="40" spans="1:31" x14ac:dyDescent="0.3">
      <c r="A40" s="75" t="s">
        <v>397</v>
      </c>
      <c r="B40" s="24" t="s">
        <v>674</v>
      </c>
      <c r="C40" s="86"/>
      <c r="D40" s="18" t="s">
        <v>665</v>
      </c>
      <c r="E40" s="19" t="s">
        <v>666</v>
      </c>
      <c r="F40" s="20" t="s">
        <v>538</v>
      </c>
      <c r="G40" s="114"/>
      <c r="H40" s="114"/>
      <c r="I40" s="114">
        <v>1</v>
      </c>
      <c r="J40" s="152"/>
      <c r="K40" s="162"/>
      <c r="L40" s="114"/>
      <c r="M40" s="152"/>
      <c r="N40" s="135"/>
      <c r="O40" s="114"/>
      <c r="P40" s="7">
        <v>3.21</v>
      </c>
      <c r="Q40" s="70">
        <f t="shared" si="3"/>
        <v>9.8000000000000007</v>
      </c>
      <c r="R40" s="71">
        <f t="shared" si="4"/>
        <v>15.8</v>
      </c>
      <c r="S40" s="70">
        <f t="shared" si="5"/>
        <v>28</v>
      </c>
      <c r="T40" s="5" t="s">
        <v>136</v>
      </c>
      <c r="U40" s="73" t="s">
        <v>566</v>
      </c>
      <c r="V40" s="47"/>
      <c r="W40" s="46"/>
      <c r="X40" s="91"/>
      <c r="Y40" s="101"/>
      <c r="Z40" s="122">
        <v>2</v>
      </c>
      <c r="AA40" s="104">
        <v>2</v>
      </c>
      <c r="AB40" s="91"/>
      <c r="AC40" s="146"/>
      <c r="AD40" s="91"/>
      <c r="AE40" s="146"/>
    </row>
    <row r="41" spans="1:31" x14ac:dyDescent="0.3">
      <c r="A41" s="75" t="s">
        <v>397</v>
      </c>
      <c r="B41" s="24" t="s">
        <v>676</v>
      </c>
      <c r="C41" s="86"/>
      <c r="D41" s="18" t="s">
        <v>665</v>
      </c>
      <c r="E41" s="19" t="s">
        <v>666</v>
      </c>
      <c r="F41" s="20" t="s">
        <v>538</v>
      </c>
      <c r="G41" s="114"/>
      <c r="H41" s="114"/>
      <c r="I41" s="114"/>
      <c r="J41" s="152">
        <v>1</v>
      </c>
      <c r="K41" s="162"/>
      <c r="L41" s="114"/>
      <c r="M41" s="152"/>
      <c r="N41" s="135">
        <v>1</v>
      </c>
      <c r="O41" s="114">
        <v>1</v>
      </c>
      <c r="P41" s="7">
        <v>3.21</v>
      </c>
      <c r="Q41" s="70">
        <f t="shared" ref="Q41:Q77" si="26">ROUND((P41*1.2*1.5+4)*10,0)/10</f>
        <v>9.8000000000000007</v>
      </c>
      <c r="R41" s="71">
        <f t="shared" ref="R41:R77" si="27">ROUND((P41*1.2*1.5+10)*10,0)/10</f>
        <v>15.8</v>
      </c>
      <c r="S41" s="70">
        <f t="shared" ref="S41" si="28">ROUND(R41/0.7*1.22,0)</f>
        <v>28</v>
      </c>
      <c r="T41" s="5" t="s">
        <v>136</v>
      </c>
      <c r="U41" s="73" t="s">
        <v>566</v>
      </c>
      <c r="V41" s="47"/>
      <c r="W41" s="46"/>
      <c r="X41" s="91"/>
      <c r="Y41" s="101"/>
      <c r="Z41" s="122">
        <v>3</v>
      </c>
      <c r="AA41" s="104">
        <v>3</v>
      </c>
      <c r="AB41" s="91"/>
      <c r="AC41" s="146"/>
      <c r="AD41" s="91"/>
      <c r="AE41" s="146"/>
    </row>
    <row r="42" spans="1:31" x14ac:dyDescent="0.3">
      <c r="A42" s="75" t="s">
        <v>397</v>
      </c>
      <c r="B42" s="156" t="s">
        <v>981</v>
      </c>
      <c r="C42" s="86"/>
      <c r="D42" s="18" t="s">
        <v>979</v>
      </c>
      <c r="E42" s="19" t="s">
        <v>980</v>
      </c>
      <c r="F42" s="20" t="s">
        <v>538</v>
      </c>
      <c r="G42" s="114"/>
      <c r="H42" s="114"/>
      <c r="I42" s="114"/>
      <c r="J42" s="152"/>
      <c r="K42" s="162"/>
      <c r="L42" s="114">
        <v>1</v>
      </c>
      <c r="M42" s="152"/>
      <c r="N42" s="135"/>
      <c r="O42" s="114"/>
      <c r="P42" s="155">
        <v>6</v>
      </c>
      <c r="Q42" s="70">
        <f t="shared" si="26"/>
        <v>14.8</v>
      </c>
      <c r="R42" s="71">
        <f t="shared" si="27"/>
        <v>20.8</v>
      </c>
      <c r="S42" s="70">
        <f t="shared" ref="S42" si="29">ROUND(R42/0.7*1.22,0)</f>
        <v>36</v>
      </c>
      <c r="T42" s="5" t="s">
        <v>136</v>
      </c>
      <c r="U42" s="73" t="s">
        <v>566</v>
      </c>
      <c r="V42" s="47"/>
      <c r="W42" s="46"/>
      <c r="X42" s="91"/>
      <c r="Y42" s="101"/>
      <c r="Z42" s="153"/>
      <c r="AA42" s="104"/>
      <c r="AB42" s="122">
        <v>5</v>
      </c>
      <c r="AC42" s="146">
        <v>5</v>
      </c>
      <c r="AD42" s="91"/>
      <c r="AE42" s="146"/>
    </row>
    <row r="43" spans="1:31" x14ac:dyDescent="0.3">
      <c r="A43" s="75" t="s">
        <v>396</v>
      </c>
      <c r="B43" s="156" t="s">
        <v>982</v>
      </c>
      <c r="C43" s="86"/>
      <c r="D43" s="18" t="s">
        <v>983</v>
      </c>
      <c r="E43" s="19" t="s">
        <v>496</v>
      </c>
      <c r="F43" s="20" t="s">
        <v>984</v>
      </c>
      <c r="G43" s="114"/>
      <c r="H43" s="114"/>
      <c r="I43" s="114"/>
      <c r="J43" s="152"/>
      <c r="K43" s="162"/>
      <c r="L43" s="114">
        <v>1</v>
      </c>
      <c r="M43" s="152"/>
      <c r="N43" s="135"/>
      <c r="O43" s="114"/>
      <c r="P43" s="155">
        <v>2</v>
      </c>
      <c r="Q43" s="70">
        <f t="shared" si="26"/>
        <v>7.6</v>
      </c>
      <c r="R43" s="71">
        <f t="shared" si="27"/>
        <v>13.6</v>
      </c>
      <c r="S43" s="70">
        <f t="shared" ref="S43" si="30">ROUND(R43/0.7*1.22,0)</f>
        <v>24</v>
      </c>
      <c r="T43" s="5" t="s">
        <v>136</v>
      </c>
      <c r="U43" s="73"/>
      <c r="V43" s="47"/>
      <c r="W43" s="46"/>
      <c r="X43" s="91"/>
      <c r="Y43" s="101"/>
      <c r="Z43" s="153"/>
      <c r="AA43" s="104"/>
      <c r="AB43" s="122">
        <v>5</v>
      </c>
      <c r="AC43" s="146">
        <v>5</v>
      </c>
      <c r="AD43" s="91"/>
      <c r="AE43" s="146"/>
    </row>
    <row r="44" spans="1:31" x14ac:dyDescent="0.3">
      <c r="A44" s="75" t="s">
        <v>359</v>
      </c>
      <c r="B44" s="24" t="s">
        <v>582</v>
      </c>
      <c r="C44" s="86"/>
      <c r="D44" s="18" t="s">
        <v>421</v>
      </c>
      <c r="E44" s="19" t="s">
        <v>422</v>
      </c>
      <c r="F44" s="20" t="s">
        <v>515</v>
      </c>
      <c r="G44" s="114">
        <v>1</v>
      </c>
      <c r="H44" s="114">
        <v>1</v>
      </c>
      <c r="I44" s="114">
        <v>1</v>
      </c>
      <c r="J44" s="152">
        <v>1</v>
      </c>
      <c r="K44" s="162">
        <v>1</v>
      </c>
      <c r="L44" s="114">
        <v>1</v>
      </c>
      <c r="M44" s="152"/>
      <c r="N44" s="135">
        <v>1</v>
      </c>
      <c r="O44" s="114">
        <v>1</v>
      </c>
      <c r="P44" s="7">
        <v>0.28999999999999998</v>
      </c>
      <c r="Q44" s="70">
        <f t="shared" si="26"/>
        <v>4.5</v>
      </c>
      <c r="R44" s="71">
        <f t="shared" si="27"/>
        <v>10.5</v>
      </c>
      <c r="S44" s="70">
        <f t="shared" si="5"/>
        <v>18</v>
      </c>
      <c r="T44" s="5" t="s">
        <v>1</v>
      </c>
      <c r="U44" s="73" t="s">
        <v>547</v>
      </c>
      <c r="V44" s="47"/>
      <c r="W44" s="46"/>
      <c r="X44" s="123">
        <v>10</v>
      </c>
      <c r="Y44" s="101">
        <f t="shared" si="14"/>
        <v>10</v>
      </c>
      <c r="Z44" s="123">
        <v>20</v>
      </c>
      <c r="AA44" s="104">
        <v>20</v>
      </c>
      <c r="AB44" s="91"/>
      <c r="AC44" s="146"/>
      <c r="AD44" s="91"/>
      <c r="AE44" s="146"/>
    </row>
    <row r="45" spans="1:31" x14ac:dyDescent="0.3">
      <c r="A45" s="75" t="s">
        <v>360</v>
      </c>
      <c r="B45" s="24" t="s">
        <v>583</v>
      </c>
      <c r="C45" s="86"/>
      <c r="D45" s="18" t="s">
        <v>423</v>
      </c>
      <c r="E45" s="19" t="s">
        <v>424</v>
      </c>
      <c r="F45" s="20" t="s">
        <v>516</v>
      </c>
      <c r="G45" s="114">
        <v>1</v>
      </c>
      <c r="H45" s="114">
        <v>1</v>
      </c>
      <c r="I45" s="114">
        <v>1</v>
      </c>
      <c r="J45" s="152">
        <v>1</v>
      </c>
      <c r="K45" s="162">
        <v>1</v>
      </c>
      <c r="L45" s="114">
        <v>1</v>
      </c>
      <c r="M45" s="152"/>
      <c r="N45" s="135">
        <v>1</v>
      </c>
      <c r="O45" s="114">
        <v>1</v>
      </c>
      <c r="P45" s="7">
        <v>0.39</v>
      </c>
      <c r="Q45" s="70">
        <f t="shared" si="26"/>
        <v>4.7</v>
      </c>
      <c r="R45" s="71">
        <f t="shared" si="27"/>
        <v>10.7</v>
      </c>
      <c r="S45" s="70">
        <f t="shared" si="5"/>
        <v>19</v>
      </c>
      <c r="T45" s="5" t="s">
        <v>1</v>
      </c>
      <c r="U45" s="73" t="s">
        <v>548</v>
      </c>
      <c r="V45" s="47"/>
      <c r="W45" s="46"/>
      <c r="X45" s="123">
        <v>10</v>
      </c>
      <c r="Y45" s="101">
        <f t="shared" si="14"/>
        <v>10</v>
      </c>
      <c r="Z45" s="123">
        <v>30</v>
      </c>
      <c r="AA45" s="104">
        <v>30</v>
      </c>
      <c r="AB45" s="122">
        <v>10</v>
      </c>
      <c r="AC45" s="146">
        <v>10</v>
      </c>
      <c r="AD45" s="91"/>
      <c r="AE45" s="146"/>
    </row>
    <row r="46" spans="1:31" x14ac:dyDescent="0.3">
      <c r="A46" s="75" t="s">
        <v>367</v>
      </c>
      <c r="B46" s="24" t="s">
        <v>590</v>
      </c>
      <c r="C46" s="86"/>
      <c r="D46" s="18" t="s">
        <v>437</v>
      </c>
      <c r="E46" s="19" t="s">
        <v>438</v>
      </c>
      <c r="F46" s="20" t="s">
        <v>517</v>
      </c>
      <c r="G46" s="114">
        <v>1</v>
      </c>
      <c r="H46" s="114">
        <v>1</v>
      </c>
      <c r="I46" s="114">
        <v>1</v>
      </c>
      <c r="J46" s="152">
        <v>1</v>
      </c>
      <c r="K46" s="162"/>
      <c r="L46" s="114">
        <v>1</v>
      </c>
      <c r="M46" s="152"/>
      <c r="N46" s="135">
        <v>1</v>
      </c>
      <c r="O46" s="114">
        <v>1</v>
      </c>
      <c r="P46" s="7">
        <v>4.05</v>
      </c>
      <c r="Q46" s="70">
        <f t="shared" si="26"/>
        <v>11.3</v>
      </c>
      <c r="R46" s="71">
        <f t="shared" si="27"/>
        <v>17.3</v>
      </c>
      <c r="S46" s="70">
        <f t="shared" si="5"/>
        <v>30</v>
      </c>
      <c r="T46" s="5" t="s">
        <v>1</v>
      </c>
      <c r="U46" s="73" t="s">
        <v>549</v>
      </c>
      <c r="V46" s="47"/>
      <c r="W46" s="46"/>
      <c r="X46" s="123">
        <v>12</v>
      </c>
      <c r="Y46" s="101">
        <f t="shared" si="14"/>
        <v>12</v>
      </c>
      <c r="Z46" s="123">
        <v>30</v>
      </c>
      <c r="AA46" s="104">
        <v>30</v>
      </c>
      <c r="AB46" s="91"/>
      <c r="AC46" s="146"/>
      <c r="AD46" s="91"/>
      <c r="AE46" s="146"/>
    </row>
    <row r="47" spans="1:31" x14ac:dyDescent="0.3">
      <c r="A47" s="75" t="s">
        <v>367</v>
      </c>
      <c r="B47" s="163" t="s">
        <v>1027</v>
      </c>
      <c r="C47" s="86"/>
      <c r="D47" s="18" t="s">
        <v>868</v>
      </c>
      <c r="E47" s="19" t="s">
        <v>249</v>
      </c>
      <c r="F47" s="20" t="s">
        <v>517</v>
      </c>
      <c r="G47" s="114"/>
      <c r="H47" s="114"/>
      <c r="I47" s="114"/>
      <c r="J47" s="152"/>
      <c r="K47" s="162">
        <v>1</v>
      </c>
      <c r="L47" s="114"/>
      <c r="M47" s="152"/>
      <c r="N47" s="135"/>
      <c r="O47" s="114"/>
      <c r="P47" s="7">
        <v>3.98</v>
      </c>
      <c r="Q47" s="70">
        <f t="shared" ref="Q47" si="31">ROUND((P47*1.2*1.5+4)*10,0)/10</f>
        <v>11.2</v>
      </c>
      <c r="R47" s="71">
        <f t="shared" ref="R47" si="32">ROUND((P47*1.2*1.5+10)*10,0)/10</f>
        <v>17.2</v>
      </c>
      <c r="S47" s="70">
        <f t="shared" ref="S47" si="33">ROUND(R47/0.7*1.22,0)</f>
        <v>30</v>
      </c>
      <c r="T47" s="5" t="s">
        <v>1</v>
      </c>
      <c r="U47" s="73" t="s">
        <v>549</v>
      </c>
      <c r="V47" s="47"/>
      <c r="W47" s="46"/>
      <c r="X47" s="164"/>
      <c r="Y47" s="101"/>
      <c r="Z47" s="164"/>
      <c r="AA47" s="104"/>
      <c r="AB47" s="91"/>
      <c r="AC47" s="146"/>
      <c r="AD47" s="122">
        <v>4</v>
      </c>
      <c r="AE47" s="146">
        <v>4</v>
      </c>
    </row>
    <row r="48" spans="1:31" x14ac:dyDescent="0.3">
      <c r="A48" s="75" t="s">
        <v>375</v>
      </c>
      <c r="B48" s="24" t="s">
        <v>596</v>
      </c>
      <c r="C48" s="86"/>
      <c r="D48" s="18" t="s">
        <v>453</v>
      </c>
      <c r="E48" s="19" t="s">
        <v>454</v>
      </c>
      <c r="F48" s="20" t="s">
        <v>523</v>
      </c>
      <c r="G48" s="114">
        <v>1</v>
      </c>
      <c r="H48" s="114">
        <v>1</v>
      </c>
      <c r="I48" s="114">
        <v>1</v>
      </c>
      <c r="J48" s="152">
        <v>1</v>
      </c>
      <c r="K48" s="162">
        <v>1</v>
      </c>
      <c r="L48" s="114">
        <v>1</v>
      </c>
      <c r="M48" s="152"/>
      <c r="N48" s="135">
        <v>1</v>
      </c>
      <c r="O48" s="114">
        <v>1</v>
      </c>
      <c r="P48" s="7">
        <v>3.6</v>
      </c>
      <c r="Q48" s="70">
        <f t="shared" si="26"/>
        <v>10.5</v>
      </c>
      <c r="R48" s="71">
        <f t="shared" si="27"/>
        <v>16.5</v>
      </c>
      <c r="S48" s="70">
        <f t="shared" si="5"/>
        <v>29</v>
      </c>
      <c r="T48" s="5" t="s">
        <v>1</v>
      </c>
      <c r="U48" s="73" t="s">
        <v>553</v>
      </c>
      <c r="V48" s="47">
        <v>116</v>
      </c>
      <c r="W48" s="46">
        <v>4</v>
      </c>
      <c r="X48" s="123">
        <v>18</v>
      </c>
      <c r="Y48" s="101">
        <f t="shared" si="14"/>
        <v>18</v>
      </c>
      <c r="Z48" s="123">
        <v>40</v>
      </c>
      <c r="AA48" s="104">
        <v>40</v>
      </c>
      <c r="AB48" s="122">
        <v>6</v>
      </c>
      <c r="AC48" s="146">
        <v>6</v>
      </c>
      <c r="AD48" s="91"/>
      <c r="AE48" s="146"/>
    </row>
    <row r="49" spans="1:31" x14ac:dyDescent="0.3">
      <c r="A49" s="75" t="s">
        <v>376</v>
      </c>
      <c r="B49" s="24" t="s">
        <v>597</v>
      </c>
      <c r="C49" s="86"/>
      <c r="D49" s="18" t="s">
        <v>455</v>
      </c>
      <c r="E49" s="19" t="s">
        <v>456</v>
      </c>
      <c r="F49" s="20" t="s">
        <v>524</v>
      </c>
      <c r="G49" s="114">
        <v>1</v>
      </c>
      <c r="H49" s="114">
        <v>1</v>
      </c>
      <c r="I49" s="114">
        <v>1</v>
      </c>
      <c r="J49" s="152">
        <v>1</v>
      </c>
      <c r="K49" s="162"/>
      <c r="L49" s="114">
        <v>1</v>
      </c>
      <c r="M49" s="152">
        <v>1</v>
      </c>
      <c r="N49" s="135">
        <v>1</v>
      </c>
      <c r="O49" s="114">
        <v>1</v>
      </c>
      <c r="P49" s="7">
        <v>6.66</v>
      </c>
      <c r="Q49" s="70">
        <f t="shared" si="26"/>
        <v>16</v>
      </c>
      <c r="R49" s="71">
        <f t="shared" si="27"/>
        <v>22</v>
      </c>
      <c r="S49" s="70">
        <f t="shared" si="5"/>
        <v>38</v>
      </c>
      <c r="T49" s="5" t="s">
        <v>1</v>
      </c>
      <c r="U49" s="73" t="s">
        <v>554</v>
      </c>
      <c r="V49" s="47"/>
      <c r="W49" s="46"/>
      <c r="X49" s="123">
        <v>8</v>
      </c>
      <c r="Y49" s="101">
        <f t="shared" si="14"/>
        <v>8</v>
      </c>
      <c r="Z49" s="123">
        <v>22</v>
      </c>
      <c r="AA49" s="104">
        <v>22</v>
      </c>
      <c r="AB49" s="122">
        <v>20</v>
      </c>
      <c r="AC49" s="146">
        <v>20</v>
      </c>
      <c r="AD49" s="91"/>
      <c r="AE49" s="146"/>
    </row>
    <row r="50" spans="1:31" x14ac:dyDescent="0.3">
      <c r="A50" s="75" t="s">
        <v>376</v>
      </c>
      <c r="B50" s="163" t="s">
        <v>1024</v>
      </c>
      <c r="C50" s="86"/>
      <c r="D50" s="18" t="s">
        <v>953</v>
      </c>
      <c r="E50" s="19" t="s">
        <v>962</v>
      </c>
      <c r="F50" s="20" t="s">
        <v>524</v>
      </c>
      <c r="G50" s="114"/>
      <c r="H50" s="114"/>
      <c r="I50" s="114"/>
      <c r="J50" s="152"/>
      <c r="K50" s="162">
        <v>1</v>
      </c>
      <c r="L50" s="114"/>
      <c r="M50" s="152"/>
      <c r="N50" s="135"/>
      <c r="O50" s="114"/>
      <c r="P50" s="7">
        <v>5.0999999999999996</v>
      </c>
      <c r="Q50" s="70">
        <f t="shared" ref="Q50" si="34">ROUND((P50*1.2*1.5+4)*10,0)/10</f>
        <v>13.2</v>
      </c>
      <c r="R50" s="71">
        <f t="shared" ref="R50" si="35">ROUND((P50*1.2*1.5+10)*10,0)/10</f>
        <v>19.2</v>
      </c>
      <c r="S50" s="70">
        <f t="shared" ref="S50" si="36">ROUND(R50/0.7*1.22,0)</f>
        <v>33</v>
      </c>
      <c r="T50" s="5" t="s">
        <v>1</v>
      </c>
      <c r="U50" s="73" t="s">
        <v>554</v>
      </c>
      <c r="V50" s="47"/>
      <c r="W50" s="46"/>
      <c r="X50" s="164"/>
      <c r="Y50" s="101"/>
      <c r="Z50" s="164"/>
      <c r="AA50" s="104"/>
      <c r="AB50" s="91"/>
      <c r="AC50" s="146"/>
      <c r="AD50" s="122">
        <v>4</v>
      </c>
      <c r="AE50" s="146">
        <v>4</v>
      </c>
    </row>
    <row r="51" spans="1:31" x14ac:dyDescent="0.3">
      <c r="A51" s="75" t="s">
        <v>399</v>
      </c>
      <c r="B51" s="24" t="s">
        <v>616</v>
      </c>
      <c r="C51" s="86" t="s">
        <v>643</v>
      </c>
      <c r="D51" s="18" t="s">
        <v>500</v>
      </c>
      <c r="E51" s="19" t="s">
        <v>501</v>
      </c>
      <c r="F51" s="20" t="s">
        <v>540</v>
      </c>
      <c r="G51" s="114">
        <v>1</v>
      </c>
      <c r="H51" s="114"/>
      <c r="I51" s="114"/>
      <c r="J51" s="152"/>
      <c r="K51" s="162">
        <v>1</v>
      </c>
      <c r="L51" s="114"/>
      <c r="M51" s="152"/>
      <c r="N51" s="135"/>
      <c r="O51" s="114"/>
      <c r="P51" s="7">
        <v>2.0299999999999998</v>
      </c>
      <c r="Q51" s="70">
        <f t="shared" si="26"/>
        <v>7.7</v>
      </c>
      <c r="R51" s="71">
        <f t="shared" si="27"/>
        <v>13.7</v>
      </c>
      <c r="S51" s="70">
        <f t="shared" si="5"/>
        <v>24</v>
      </c>
      <c r="T51" s="5" t="s">
        <v>1</v>
      </c>
      <c r="U51" s="73" t="s">
        <v>568</v>
      </c>
      <c r="V51" s="47">
        <v>93</v>
      </c>
      <c r="W51" s="46">
        <v>11</v>
      </c>
      <c r="X51" s="123">
        <v>10</v>
      </c>
      <c r="Y51" s="101">
        <f t="shared" si="14"/>
        <v>10</v>
      </c>
      <c r="Z51" s="92"/>
      <c r="AA51" s="143"/>
      <c r="AB51" s="91"/>
      <c r="AC51" s="146"/>
      <c r="AD51" s="91"/>
      <c r="AE51" s="146"/>
    </row>
    <row r="52" spans="1:31" x14ac:dyDescent="0.3">
      <c r="A52" s="75" t="s">
        <v>399</v>
      </c>
      <c r="B52" s="24" t="s">
        <v>667</v>
      </c>
      <c r="C52" s="86"/>
      <c r="D52" s="18" t="s">
        <v>668</v>
      </c>
      <c r="E52" s="19" t="s">
        <v>501</v>
      </c>
      <c r="F52" s="20" t="s">
        <v>540</v>
      </c>
      <c r="G52" s="114"/>
      <c r="H52" s="114">
        <v>1</v>
      </c>
      <c r="I52" s="114">
        <v>1</v>
      </c>
      <c r="J52" s="152">
        <v>1</v>
      </c>
      <c r="K52" s="162"/>
      <c r="L52" s="114">
        <v>1</v>
      </c>
      <c r="M52" s="152"/>
      <c r="N52" s="135">
        <v>1</v>
      </c>
      <c r="O52" s="114">
        <v>1</v>
      </c>
      <c r="P52" s="7">
        <v>2.0299999999999998</v>
      </c>
      <c r="Q52" s="70">
        <f t="shared" si="26"/>
        <v>7.7</v>
      </c>
      <c r="R52" s="71">
        <f t="shared" si="27"/>
        <v>13.7</v>
      </c>
      <c r="S52" s="70">
        <f t="shared" ref="S52" si="37">ROUND(R52/0.7*1.22,0)</f>
        <v>24</v>
      </c>
      <c r="T52" s="5" t="s">
        <v>1</v>
      </c>
      <c r="U52" s="73" t="s">
        <v>568</v>
      </c>
      <c r="V52" s="47"/>
      <c r="W52" s="46"/>
      <c r="X52" s="92"/>
      <c r="Y52" s="101"/>
      <c r="Z52" s="123">
        <v>30</v>
      </c>
      <c r="AA52" s="104">
        <v>30</v>
      </c>
      <c r="AB52" s="122">
        <v>10</v>
      </c>
      <c r="AC52" s="146">
        <v>10</v>
      </c>
      <c r="AD52" s="91"/>
      <c r="AE52" s="146"/>
    </row>
    <row r="53" spans="1:31" x14ac:dyDescent="0.3">
      <c r="A53" s="75" t="s">
        <v>400</v>
      </c>
      <c r="B53" s="24" t="s">
        <v>617</v>
      </c>
      <c r="C53" s="86"/>
      <c r="D53" s="18" t="s">
        <v>502</v>
      </c>
      <c r="E53" s="19" t="s">
        <v>503</v>
      </c>
      <c r="F53" s="20" t="s">
        <v>541</v>
      </c>
      <c r="G53" s="114">
        <v>1</v>
      </c>
      <c r="H53" s="114">
        <v>1</v>
      </c>
      <c r="I53" s="114">
        <v>1</v>
      </c>
      <c r="J53" s="152">
        <v>1</v>
      </c>
      <c r="K53" s="162">
        <v>1</v>
      </c>
      <c r="L53" s="114">
        <v>1</v>
      </c>
      <c r="M53" s="152"/>
      <c r="N53" s="135">
        <v>1</v>
      </c>
      <c r="O53" s="114">
        <v>1</v>
      </c>
      <c r="P53" s="7">
        <v>2.7</v>
      </c>
      <c r="Q53" s="70">
        <f t="shared" si="26"/>
        <v>8.9</v>
      </c>
      <c r="R53" s="71">
        <f t="shared" si="27"/>
        <v>14.9</v>
      </c>
      <c r="S53" s="70">
        <f t="shared" si="5"/>
        <v>26</v>
      </c>
      <c r="T53" s="5" t="s">
        <v>1</v>
      </c>
      <c r="U53" s="73" t="s">
        <v>569</v>
      </c>
      <c r="V53" s="47"/>
      <c r="W53" s="46"/>
      <c r="X53" s="123">
        <v>10</v>
      </c>
      <c r="Y53" s="101">
        <f t="shared" si="14"/>
        <v>10</v>
      </c>
      <c r="Z53" s="123">
        <v>45</v>
      </c>
      <c r="AA53" s="104">
        <v>45</v>
      </c>
      <c r="AB53" s="122">
        <v>20</v>
      </c>
      <c r="AC53" s="146">
        <v>20</v>
      </c>
      <c r="AD53" s="91"/>
      <c r="AE53" s="146"/>
    </row>
    <row r="54" spans="1:31" x14ac:dyDescent="0.3">
      <c r="A54" s="75" t="s">
        <v>669</v>
      </c>
      <c r="B54" s="24" t="s">
        <v>670</v>
      </c>
      <c r="C54" s="86"/>
      <c r="D54" s="18" t="s">
        <v>6</v>
      </c>
      <c r="E54" s="19" t="s">
        <v>7</v>
      </c>
      <c r="F54" s="20" t="s">
        <v>125</v>
      </c>
      <c r="G54" s="114"/>
      <c r="H54" s="114">
        <v>1</v>
      </c>
      <c r="I54" s="114">
        <v>1</v>
      </c>
      <c r="J54" s="152">
        <v>1</v>
      </c>
      <c r="K54" s="162"/>
      <c r="L54" s="114">
        <v>1</v>
      </c>
      <c r="M54" s="152"/>
      <c r="N54" s="135">
        <v>1</v>
      </c>
      <c r="O54" s="114">
        <v>1</v>
      </c>
      <c r="P54" s="7">
        <v>8.1</v>
      </c>
      <c r="Q54" s="70">
        <f t="shared" si="26"/>
        <v>18.600000000000001</v>
      </c>
      <c r="R54" s="71">
        <f t="shared" si="27"/>
        <v>24.6</v>
      </c>
      <c r="S54" s="70">
        <f t="shared" si="5"/>
        <v>43</v>
      </c>
      <c r="T54" s="5" t="s">
        <v>1</v>
      </c>
      <c r="U54" s="73" t="s">
        <v>671</v>
      </c>
      <c r="V54" s="47"/>
      <c r="W54" s="46"/>
      <c r="X54" s="92"/>
      <c r="Y54" s="101"/>
      <c r="Z54" s="123">
        <v>5</v>
      </c>
      <c r="AA54" s="104">
        <v>5</v>
      </c>
      <c r="AB54" s="91"/>
      <c r="AC54" s="146"/>
      <c r="AD54" s="91"/>
      <c r="AE54" s="146"/>
    </row>
    <row r="55" spans="1:31" x14ac:dyDescent="0.3">
      <c r="A55" s="75" t="s">
        <v>669</v>
      </c>
      <c r="B55" s="163" t="s">
        <v>1026</v>
      </c>
      <c r="C55" s="86"/>
      <c r="D55" s="18" t="s">
        <v>6</v>
      </c>
      <c r="E55" s="19" t="s">
        <v>7</v>
      </c>
      <c r="F55" s="20" t="s">
        <v>125</v>
      </c>
      <c r="G55" s="114"/>
      <c r="H55" s="114"/>
      <c r="I55" s="114"/>
      <c r="J55" s="152"/>
      <c r="K55" s="162">
        <v>1</v>
      </c>
      <c r="L55" s="114"/>
      <c r="M55" s="152"/>
      <c r="N55" s="135"/>
      <c r="O55" s="114"/>
      <c r="P55" s="7">
        <v>10.98</v>
      </c>
      <c r="Q55" s="70">
        <f t="shared" ref="Q55" si="38">ROUND((P55*1.2*1.5+4)*10,0)/10</f>
        <v>23.8</v>
      </c>
      <c r="R55" s="71">
        <f t="shared" ref="R55" si="39">ROUND((P55*1.2*1.5+10)*10,0)/10</f>
        <v>29.8</v>
      </c>
      <c r="S55" s="70">
        <f t="shared" ref="S55" si="40">ROUND(R55/0.7*1.22,0)</f>
        <v>52</v>
      </c>
      <c r="T55" s="5" t="s">
        <v>1</v>
      </c>
      <c r="U55" s="73" t="s">
        <v>671</v>
      </c>
      <c r="V55" s="47"/>
      <c r="W55" s="46"/>
      <c r="X55" s="92"/>
      <c r="Y55" s="101"/>
      <c r="Z55" s="164"/>
      <c r="AA55" s="104"/>
      <c r="AB55" s="91"/>
      <c r="AC55" s="146"/>
      <c r="AD55" s="122">
        <v>1</v>
      </c>
      <c r="AE55" s="146">
        <v>1</v>
      </c>
    </row>
    <row r="56" spans="1:31" x14ac:dyDescent="0.3">
      <c r="A56" s="75" t="s">
        <v>401</v>
      </c>
      <c r="B56" s="24" t="s">
        <v>618</v>
      </c>
      <c r="C56" s="86"/>
      <c r="D56" s="18" t="s">
        <v>504</v>
      </c>
      <c r="E56" s="19" t="s">
        <v>505</v>
      </c>
      <c r="F56" s="20" t="s">
        <v>542</v>
      </c>
      <c r="G56" s="114">
        <v>1</v>
      </c>
      <c r="H56" s="114">
        <v>1</v>
      </c>
      <c r="I56" s="114">
        <v>1</v>
      </c>
      <c r="J56" s="152">
        <v>1</v>
      </c>
      <c r="K56" s="162">
        <v>1</v>
      </c>
      <c r="L56" s="114">
        <v>1</v>
      </c>
      <c r="M56" s="152"/>
      <c r="N56" s="135">
        <v>1</v>
      </c>
      <c r="O56" s="114">
        <v>1</v>
      </c>
      <c r="P56" s="7">
        <v>0.27</v>
      </c>
      <c r="Q56" s="70">
        <f t="shared" si="26"/>
        <v>4.5</v>
      </c>
      <c r="R56" s="71">
        <f t="shared" si="27"/>
        <v>10.5</v>
      </c>
      <c r="S56" s="70">
        <f t="shared" si="5"/>
        <v>18</v>
      </c>
      <c r="T56" s="5" t="s">
        <v>1</v>
      </c>
      <c r="U56" s="73" t="s">
        <v>570</v>
      </c>
      <c r="V56" s="47"/>
      <c r="W56" s="46"/>
      <c r="X56" s="123">
        <v>5</v>
      </c>
      <c r="Y56" s="101">
        <f t="shared" si="14"/>
        <v>5</v>
      </c>
      <c r="Z56" s="123">
        <v>5</v>
      </c>
      <c r="AA56" s="104">
        <v>5</v>
      </c>
      <c r="AB56" s="122">
        <v>5</v>
      </c>
      <c r="AC56" s="146">
        <v>5</v>
      </c>
      <c r="AD56" s="91"/>
      <c r="AE56" s="146"/>
    </row>
    <row r="57" spans="1:31" x14ac:dyDescent="0.3">
      <c r="A57" s="75" t="s">
        <v>402</v>
      </c>
      <c r="B57" s="24" t="s">
        <v>619</v>
      </c>
      <c r="C57" s="86"/>
      <c r="D57" s="18" t="s">
        <v>506</v>
      </c>
      <c r="E57" s="19" t="s">
        <v>507</v>
      </c>
      <c r="F57" s="20" t="s">
        <v>543</v>
      </c>
      <c r="G57" s="114">
        <v>1</v>
      </c>
      <c r="H57" s="114">
        <v>1</v>
      </c>
      <c r="I57" s="114">
        <v>1</v>
      </c>
      <c r="J57" s="152">
        <v>1</v>
      </c>
      <c r="K57" s="162"/>
      <c r="L57" s="114">
        <v>1</v>
      </c>
      <c r="M57" s="152"/>
      <c r="N57" s="135">
        <v>1</v>
      </c>
      <c r="O57" s="114">
        <v>1</v>
      </c>
      <c r="P57" s="7">
        <v>3.57</v>
      </c>
      <c r="Q57" s="70">
        <f t="shared" si="26"/>
        <v>10.4</v>
      </c>
      <c r="R57" s="71">
        <f t="shared" si="27"/>
        <v>16.399999999999999</v>
      </c>
      <c r="S57" s="70">
        <f t="shared" si="5"/>
        <v>29</v>
      </c>
      <c r="T57" s="5" t="s">
        <v>1</v>
      </c>
      <c r="U57" s="73" t="s">
        <v>571</v>
      </c>
      <c r="V57" s="47"/>
      <c r="W57" s="46"/>
      <c r="X57" s="123">
        <v>8</v>
      </c>
      <c r="Y57" s="101">
        <f t="shared" si="14"/>
        <v>8</v>
      </c>
      <c r="Z57" s="123">
        <v>25</v>
      </c>
      <c r="AA57" s="104">
        <v>25</v>
      </c>
      <c r="AB57" s="122">
        <v>20</v>
      </c>
      <c r="AC57" s="146">
        <v>20</v>
      </c>
      <c r="AD57" s="91"/>
      <c r="AE57" s="146"/>
    </row>
    <row r="58" spans="1:31" x14ac:dyDescent="0.3">
      <c r="A58" s="75" t="s">
        <v>402</v>
      </c>
      <c r="B58" s="163" t="s">
        <v>1031</v>
      </c>
      <c r="C58" s="86"/>
      <c r="D58" s="18" t="s">
        <v>1032</v>
      </c>
      <c r="E58" s="19" t="s">
        <v>507</v>
      </c>
      <c r="F58" s="20" t="s">
        <v>543</v>
      </c>
      <c r="G58" s="114"/>
      <c r="H58" s="114"/>
      <c r="I58" s="114"/>
      <c r="J58" s="152"/>
      <c r="K58" s="162">
        <v>1</v>
      </c>
      <c r="L58" s="114"/>
      <c r="M58" s="152"/>
      <c r="N58" s="135"/>
      <c r="O58" s="114"/>
      <c r="P58" s="7">
        <v>3.34</v>
      </c>
      <c r="Q58" s="70">
        <f t="shared" ref="Q58" si="41">ROUND((P58*1.2*1.5+4)*10,0)/10</f>
        <v>10</v>
      </c>
      <c r="R58" s="71">
        <f t="shared" ref="R58" si="42">ROUND((P58*1.2*1.5+10)*10,0)/10</f>
        <v>16</v>
      </c>
      <c r="S58" s="70">
        <f t="shared" ref="S58" si="43">ROUND(R58/0.7*1.22,0)</f>
        <v>28</v>
      </c>
      <c r="T58" s="5" t="s">
        <v>1</v>
      </c>
      <c r="U58" s="73" t="s">
        <v>571</v>
      </c>
      <c r="V58" s="47"/>
      <c r="W58" s="46"/>
      <c r="X58" s="164"/>
      <c r="Y58" s="101"/>
      <c r="Z58" s="164"/>
      <c r="AA58" s="104"/>
      <c r="AB58" s="91"/>
      <c r="AC58" s="146"/>
      <c r="AD58" s="122">
        <v>4</v>
      </c>
      <c r="AE58" s="146">
        <v>4</v>
      </c>
    </row>
    <row r="59" spans="1:31" x14ac:dyDescent="0.3">
      <c r="A59" s="75" t="s">
        <v>358</v>
      </c>
      <c r="B59" s="24" t="s">
        <v>581</v>
      </c>
      <c r="C59" s="86"/>
      <c r="D59" s="18" t="s">
        <v>419</v>
      </c>
      <c r="E59" s="19" t="s">
        <v>420</v>
      </c>
      <c r="F59" s="20" t="s">
        <v>514</v>
      </c>
      <c r="G59" s="114">
        <v>1</v>
      </c>
      <c r="H59" s="114">
        <v>1</v>
      </c>
      <c r="I59" s="114">
        <v>1</v>
      </c>
      <c r="J59" s="152">
        <v>1</v>
      </c>
      <c r="K59" s="162"/>
      <c r="L59" s="114">
        <v>1</v>
      </c>
      <c r="M59" s="152"/>
      <c r="N59" s="135">
        <v>1</v>
      </c>
      <c r="O59" s="114">
        <v>1</v>
      </c>
      <c r="P59" s="7">
        <v>6.33</v>
      </c>
      <c r="Q59" s="70">
        <f t="shared" si="26"/>
        <v>15.4</v>
      </c>
      <c r="R59" s="71">
        <f t="shared" si="27"/>
        <v>21.4</v>
      </c>
      <c r="S59" s="70">
        <f t="shared" si="5"/>
        <v>37</v>
      </c>
      <c r="T59" s="5" t="s">
        <v>287</v>
      </c>
      <c r="U59" s="73" t="s">
        <v>546</v>
      </c>
      <c r="V59" s="47"/>
      <c r="W59" s="46"/>
      <c r="X59" s="123">
        <v>6</v>
      </c>
      <c r="Y59" s="101">
        <f t="shared" si="14"/>
        <v>6</v>
      </c>
      <c r="Z59" s="123">
        <v>20</v>
      </c>
      <c r="AA59" s="104">
        <v>20</v>
      </c>
      <c r="AB59" s="122">
        <v>4</v>
      </c>
      <c r="AC59" s="146">
        <v>4</v>
      </c>
      <c r="AD59" s="91"/>
      <c r="AE59" s="146"/>
    </row>
    <row r="60" spans="1:31" x14ac:dyDescent="0.3">
      <c r="A60" s="75" t="s">
        <v>358</v>
      </c>
      <c r="B60" s="163" t="s">
        <v>1025</v>
      </c>
      <c r="C60" s="86"/>
      <c r="D60" s="18" t="s">
        <v>284</v>
      </c>
      <c r="E60" s="19" t="s">
        <v>285</v>
      </c>
      <c r="F60" s="20" t="s">
        <v>514</v>
      </c>
      <c r="G60" s="114"/>
      <c r="H60" s="114"/>
      <c r="I60" s="114"/>
      <c r="J60" s="152"/>
      <c r="K60" s="162">
        <v>1</v>
      </c>
      <c r="L60" s="114"/>
      <c r="M60" s="152"/>
      <c r="N60" s="135"/>
      <c r="O60" s="114"/>
      <c r="P60" s="7">
        <v>9.6</v>
      </c>
      <c r="Q60" s="70">
        <f t="shared" ref="Q60" si="44">ROUND((P60*1.2*1.5+4)*10,0)/10</f>
        <v>21.3</v>
      </c>
      <c r="R60" s="71">
        <f t="shared" ref="R60" si="45">ROUND((P60*1.2*1.5+10)*10,0)/10</f>
        <v>27.3</v>
      </c>
      <c r="S60" s="70">
        <f t="shared" ref="S60" si="46">ROUND(R60/0.7*1.22,0)</f>
        <v>48</v>
      </c>
      <c r="T60" s="5" t="s">
        <v>287</v>
      </c>
      <c r="U60" s="73" t="s">
        <v>546</v>
      </c>
      <c r="V60" s="47"/>
      <c r="W60" s="46"/>
      <c r="X60" s="164"/>
      <c r="Y60" s="101"/>
      <c r="Z60" s="164"/>
      <c r="AA60" s="104"/>
      <c r="AB60" s="91"/>
      <c r="AC60" s="146"/>
      <c r="AD60" s="122">
        <v>4</v>
      </c>
      <c r="AE60" s="146">
        <v>4</v>
      </c>
    </row>
    <row r="61" spans="1:31" x14ac:dyDescent="0.3">
      <c r="A61" s="75" t="s">
        <v>380</v>
      </c>
      <c r="B61" s="24" t="s">
        <v>601</v>
      </c>
      <c r="C61" s="86"/>
      <c r="D61" s="18" t="s">
        <v>463</v>
      </c>
      <c r="E61" s="19" t="s">
        <v>464</v>
      </c>
      <c r="F61" s="20" t="s">
        <v>528</v>
      </c>
      <c r="G61" s="114">
        <v>1</v>
      </c>
      <c r="H61" s="114">
        <v>1</v>
      </c>
      <c r="I61" s="114">
        <v>1</v>
      </c>
      <c r="J61" s="152">
        <v>1</v>
      </c>
      <c r="K61" s="162"/>
      <c r="L61" s="114"/>
      <c r="M61" s="152"/>
      <c r="N61" s="135">
        <v>1</v>
      </c>
      <c r="O61" s="114">
        <v>1</v>
      </c>
      <c r="P61" s="7">
        <v>5.66</v>
      </c>
      <c r="Q61" s="70">
        <f t="shared" si="26"/>
        <v>14.2</v>
      </c>
      <c r="R61" s="71">
        <f t="shared" si="27"/>
        <v>20.2</v>
      </c>
      <c r="S61" s="70">
        <f t="shared" si="5"/>
        <v>35</v>
      </c>
      <c r="T61" s="5" t="s">
        <v>287</v>
      </c>
      <c r="U61" s="73" t="s">
        <v>557</v>
      </c>
      <c r="V61" s="47"/>
      <c r="W61" s="46"/>
      <c r="X61" s="122">
        <v>8</v>
      </c>
      <c r="Y61" s="101">
        <f t="shared" si="14"/>
        <v>8</v>
      </c>
      <c r="Z61" s="122">
        <v>30</v>
      </c>
      <c r="AA61" s="104">
        <v>30</v>
      </c>
      <c r="AB61" s="91"/>
      <c r="AC61" s="146"/>
      <c r="AD61" s="91"/>
      <c r="AE61" s="146"/>
    </row>
    <row r="62" spans="1:31" x14ac:dyDescent="0.3">
      <c r="A62" s="75" t="s">
        <v>379</v>
      </c>
      <c r="B62" s="24" t="s">
        <v>600</v>
      </c>
      <c r="C62" s="86"/>
      <c r="D62" s="18" t="s">
        <v>461</v>
      </c>
      <c r="E62" s="19" t="s">
        <v>462</v>
      </c>
      <c r="F62" s="20" t="s">
        <v>527</v>
      </c>
      <c r="G62" s="114">
        <v>1</v>
      </c>
      <c r="H62" s="114">
        <v>1</v>
      </c>
      <c r="I62" s="114">
        <v>1</v>
      </c>
      <c r="J62" s="152">
        <v>1</v>
      </c>
      <c r="K62" s="162">
        <v>1</v>
      </c>
      <c r="L62" s="114">
        <v>1</v>
      </c>
      <c r="M62" s="152">
        <v>1</v>
      </c>
      <c r="N62" s="135">
        <v>1</v>
      </c>
      <c r="O62" s="114">
        <v>1</v>
      </c>
      <c r="P62" s="7">
        <v>1.23</v>
      </c>
      <c r="Q62" s="70">
        <f t="shared" si="26"/>
        <v>6.2</v>
      </c>
      <c r="R62" s="71">
        <f t="shared" si="27"/>
        <v>12.2</v>
      </c>
      <c r="S62" s="70">
        <f t="shared" si="5"/>
        <v>21</v>
      </c>
      <c r="T62" s="5" t="s">
        <v>572</v>
      </c>
      <c r="U62" s="73" t="s">
        <v>556</v>
      </c>
      <c r="V62" s="47"/>
      <c r="W62" s="46"/>
      <c r="X62" s="122">
        <v>5</v>
      </c>
      <c r="Y62" s="101">
        <f t="shared" si="14"/>
        <v>5</v>
      </c>
      <c r="Z62" s="122">
        <v>20</v>
      </c>
      <c r="AA62" s="104">
        <v>20</v>
      </c>
      <c r="AB62" s="122">
        <v>30</v>
      </c>
      <c r="AC62" s="146">
        <v>30</v>
      </c>
      <c r="AD62" s="91"/>
      <c r="AE62" s="146"/>
    </row>
    <row r="63" spans="1:31" x14ac:dyDescent="0.3">
      <c r="A63" s="75" t="s">
        <v>922</v>
      </c>
      <c r="B63" s="125" t="s">
        <v>917</v>
      </c>
      <c r="C63" s="86"/>
      <c r="D63" s="18" t="s">
        <v>6</v>
      </c>
      <c r="E63" s="19" t="s">
        <v>7</v>
      </c>
      <c r="F63" s="20" t="s">
        <v>125</v>
      </c>
      <c r="G63" s="114"/>
      <c r="H63" s="114"/>
      <c r="I63" s="114"/>
      <c r="J63" s="152"/>
      <c r="K63" s="162">
        <v>1</v>
      </c>
      <c r="L63" s="114">
        <v>1</v>
      </c>
      <c r="M63" s="152"/>
      <c r="N63" s="135"/>
      <c r="O63" s="114"/>
      <c r="P63" s="7">
        <v>0.34</v>
      </c>
      <c r="Q63" s="70">
        <f t="shared" si="26"/>
        <v>4.5999999999999996</v>
      </c>
      <c r="R63" s="71">
        <f t="shared" si="27"/>
        <v>10.6</v>
      </c>
      <c r="S63" s="70">
        <f t="shared" ref="S63:S67" si="47">ROUND(R63/0.7*1.22,0)</f>
        <v>18</v>
      </c>
      <c r="T63" s="5" t="s">
        <v>1</v>
      </c>
      <c r="U63" s="73" t="s">
        <v>671</v>
      </c>
      <c r="V63" s="47"/>
      <c r="W63" s="46"/>
      <c r="X63" s="153"/>
      <c r="Y63" s="101"/>
      <c r="Z63" s="153"/>
      <c r="AA63" s="104"/>
      <c r="AB63" s="122">
        <v>5</v>
      </c>
      <c r="AC63" s="146">
        <v>5</v>
      </c>
      <c r="AD63" s="91"/>
      <c r="AE63" s="146"/>
    </row>
    <row r="64" spans="1:31" x14ac:dyDescent="0.3">
      <c r="A64" s="75" t="s">
        <v>380</v>
      </c>
      <c r="B64" s="125" t="s">
        <v>918</v>
      </c>
      <c r="C64" s="86"/>
      <c r="D64" s="18" t="s">
        <v>284</v>
      </c>
      <c r="E64" s="19" t="s">
        <v>285</v>
      </c>
      <c r="F64" s="20" t="s">
        <v>528</v>
      </c>
      <c r="G64" s="114"/>
      <c r="H64" s="114"/>
      <c r="I64" s="114"/>
      <c r="J64" s="152"/>
      <c r="K64" s="162"/>
      <c r="L64" s="114">
        <v>1</v>
      </c>
      <c r="M64" s="152"/>
      <c r="N64" s="135"/>
      <c r="O64" s="114"/>
      <c r="P64" s="155">
        <v>6</v>
      </c>
      <c r="Q64" s="70">
        <f t="shared" si="26"/>
        <v>14.8</v>
      </c>
      <c r="R64" s="71">
        <f t="shared" si="27"/>
        <v>20.8</v>
      </c>
      <c r="S64" s="70">
        <f t="shared" si="47"/>
        <v>36</v>
      </c>
      <c r="T64" s="5" t="s">
        <v>287</v>
      </c>
      <c r="U64" s="73" t="s">
        <v>557</v>
      </c>
      <c r="V64" s="47"/>
      <c r="W64" s="46"/>
      <c r="X64" s="153"/>
      <c r="Y64" s="101"/>
      <c r="Z64" s="153"/>
      <c r="AA64" s="104"/>
      <c r="AB64" s="122">
        <v>30</v>
      </c>
      <c r="AC64" s="146">
        <v>30</v>
      </c>
      <c r="AD64" s="91"/>
      <c r="AE64" s="146"/>
    </row>
    <row r="65" spans="1:31" x14ac:dyDescent="0.3">
      <c r="A65" s="75" t="s">
        <v>923</v>
      </c>
      <c r="B65" s="125" t="s">
        <v>919</v>
      </c>
      <c r="C65" s="86"/>
      <c r="D65" s="18" t="s">
        <v>915</v>
      </c>
      <c r="E65" s="19" t="s">
        <v>926</v>
      </c>
      <c r="F65" s="61" t="s">
        <v>928</v>
      </c>
      <c r="G65" s="114"/>
      <c r="H65" s="114"/>
      <c r="I65" s="114"/>
      <c r="J65" s="152"/>
      <c r="K65" s="162"/>
      <c r="L65" s="157">
        <v>1</v>
      </c>
      <c r="M65" s="152"/>
      <c r="N65" s="135"/>
      <c r="O65" s="114"/>
      <c r="P65" s="155">
        <v>0.03</v>
      </c>
      <c r="Q65" s="70">
        <f t="shared" si="26"/>
        <v>4.0999999999999996</v>
      </c>
      <c r="R65" s="71">
        <f t="shared" si="27"/>
        <v>10.1</v>
      </c>
      <c r="S65" s="70">
        <f t="shared" si="47"/>
        <v>18</v>
      </c>
      <c r="T65" s="5" t="s">
        <v>137</v>
      </c>
      <c r="U65" s="73"/>
      <c r="V65" s="47"/>
      <c r="W65" s="46"/>
      <c r="X65" s="153"/>
      <c r="Y65" s="101"/>
      <c r="Z65" s="153"/>
      <c r="AA65" s="104"/>
      <c r="AB65" s="122">
        <v>5</v>
      </c>
      <c r="AC65" s="146">
        <v>5</v>
      </c>
      <c r="AD65" s="91"/>
      <c r="AE65" s="146"/>
    </row>
    <row r="66" spans="1:31" x14ac:dyDescent="0.3">
      <c r="A66" s="75" t="s">
        <v>924</v>
      </c>
      <c r="B66" s="125" t="s">
        <v>920</v>
      </c>
      <c r="C66" s="86"/>
      <c r="D66" s="18" t="s">
        <v>916</v>
      </c>
      <c r="E66" s="19" t="s">
        <v>494</v>
      </c>
      <c r="F66" s="20" t="s">
        <v>538</v>
      </c>
      <c r="G66" s="114"/>
      <c r="H66" s="114"/>
      <c r="I66" s="114"/>
      <c r="J66" s="152"/>
      <c r="K66" s="162"/>
      <c r="L66" s="114">
        <v>1</v>
      </c>
      <c r="M66" s="152"/>
      <c r="N66" s="135"/>
      <c r="O66" s="114"/>
      <c r="P66" s="155">
        <v>6</v>
      </c>
      <c r="Q66" s="70">
        <f t="shared" si="26"/>
        <v>14.8</v>
      </c>
      <c r="R66" s="71">
        <f t="shared" si="27"/>
        <v>20.8</v>
      </c>
      <c r="S66" s="70">
        <f t="shared" si="47"/>
        <v>36</v>
      </c>
      <c r="T66" s="5" t="s">
        <v>136</v>
      </c>
      <c r="U66" s="73" t="s">
        <v>566</v>
      </c>
      <c r="V66" s="47"/>
      <c r="W66" s="46"/>
      <c r="X66" s="153"/>
      <c r="Y66" s="101"/>
      <c r="Z66" s="153"/>
      <c r="AA66" s="104"/>
      <c r="AB66" s="122">
        <v>5</v>
      </c>
      <c r="AC66" s="146">
        <v>5</v>
      </c>
      <c r="AD66" s="91"/>
      <c r="AE66" s="146"/>
    </row>
    <row r="67" spans="1:31" x14ac:dyDescent="0.3">
      <c r="A67" s="75" t="s">
        <v>925</v>
      </c>
      <c r="B67" s="125" t="s">
        <v>921</v>
      </c>
      <c r="C67" s="86"/>
      <c r="D67" s="18" t="s">
        <v>662</v>
      </c>
      <c r="E67" s="19" t="s">
        <v>663</v>
      </c>
      <c r="F67" s="20" t="s">
        <v>535</v>
      </c>
      <c r="G67" s="114"/>
      <c r="H67" s="114"/>
      <c r="I67" s="114"/>
      <c r="J67" s="152"/>
      <c r="K67" s="162"/>
      <c r="L67" s="114">
        <v>1</v>
      </c>
      <c r="M67" s="152"/>
      <c r="N67" s="135"/>
      <c r="O67" s="114"/>
      <c r="P67" s="155">
        <v>10.46</v>
      </c>
      <c r="Q67" s="70">
        <f t="shared" si="26"/>
        <v>22.8</v>
      </c>
      <c r="R67" s="71">
        <f t="shared" si="27"/>
        <v>28.8</v>
      </c>
      <c r="S67" s="70">
        <f t="shared" si="47"/>
        <v>50</v>
      </c>
      <c r="T67" s="5" t="s">
        <v>136</v>
      </c>
      <c r="U67" s="113" t="s">
        <v>563</v>
      </c>
      <c r="V67" s="47"/>
      <c r="W67" s="46"/>
      <c r="X67" s="153"/>
      <c r="Y67" s="101"/>
      <c r="Z67" s="153"/>
      <c r="AA67" s="104"/>
      <c r="AB67" s="122">
        <v>12</v>
      </c>
      <c r="AC67" s="146">
        <v>12</v>
      </c>
      <c r="AD67" s="91"/>
      <c r="AE67" s="146"/>
    </row>
    <row r="68" spans="1:31" x14ac:dyDescent="0.3">
      <c r="A68" s="75" t="s">
        <v>1013</v>
      </c>
      <c r="B68" s="125" t="s">
        <v>934</v>
      </c>
      <c r="C68" s="86"/>
      <c r="D68" s="18" t="s">
        <v>953</v>
      </c>
      <c r="E68" s="19" t="s">
        <v>962</v>
      </c>
      <c r="F68" s="20" t="s">
        <v>970</v>
      </c>
      <c r="G68" s="114"/>
      <c r="H68" s="114"/>
      <c r="I68" s="114"/>
      <c r="J68" s="152"/>
      <c r="K68" s="162"/>
      <c r="L68" s="114"/>
      <c r="M68" s="152">
        <v>1</v>
      </c>
      <c r="N68" s="135"/>
      <c r="O68" s="114"/>
      <c r="P68" s="7">
        <v>4.55</v>
      </c>
      <c r="Q68" s="70">
        <f t="shared" si="26"/>
        <v>12.2</v>
      </c>
      <c r="R68" s="71">
        <f t="shared" si="27"/>
        <v>18.2</v>
      </c>
      <c r="S68" s="70">
        <f t="shared" ref="S68:S98" si="48">ROUND(R68/0.7*1.22,0)</f>
        <v>32</v>
      </c>
      <c r="T68" s="5" t="s">
        <v>1</v>
      </c>
      <c r="U68" s="73" t="s">
        <v>553</v>
      </c>
      <c r="V68" s="47"/>
      <c r="W68" s="46"/>
      <c r="X68" s="153"/>
      <c r="Y68" s="101"/>
      <c r="Z68" s="153"/>
      <c r="AA68" s="104"/>
      <c r="AB68" s="122">
        <v>20</v>
      </c>
      <c r="AC68" s="146">
        <v>20</v>
      </c>
      <c r="AD68" s="91"/>
      <c r="AE68" s="146"/>
    </row>
    <row r="69" spans="1:31" x14ac:dyDescent="0.3">
      <c r="A69" s="75" t="s">
        <v>1014</v>
      </c>
      <c r="B69" s="125" t="s">
        <v>936</v>
      </c>
      <c r="C69" s="86"/>
      <c r="D69" s="18" t="s">
        <v>955</v>
      </c>
      <c r="E69" s="19" t="s">
        <v>963</v>
      </c>
      <c r="F69" s="20" t="s">
        <v>971</v>
      </c>
      <c r="G69" s="114"/>
      <c r="H69" s="114"/>
      <c r="I69" s="114"/>
      <c r="J69" s="152"/>
      <c r="K69" s="162"/>
      <c r="L69" s="114"/>
      <c r="M69" s="152">
        <v>2</v>
      </c>
      <c r="N69" s="135"/>
      <c r="O69" s="114"/>
      <c r="P69" s="7">
        <v>0.27</v>
      </c>
      <c r="Q69" s="70">
        <f t="shared" si="26"/>
        <v>4.5</v>
      </c>
      <c r="R69" s="71">
        <f t="shared" si="27"/>
        <v>10.5</v>
      </c>
      <c r="S69" s="70">
        <f t="shared" si="48"/>
        <v>18</v>
      </c>
      <c r="T69" s="5" t="s">
        <v>1</v>
      </c>
      <c r="U69" s="73" t="s">
        <v>547</v>
      </c>
      <c r="V69" s="47"/>
      <c r="W69" s="46"/>
      <c r="X69" s="153"/>
      <c r="Y69" s="101"/>
      <c r="Z69" s="153"/>
      <c r="AA69" s="104"/>
      <c r="AB69" s="122">
        <v>20</v>
      </c>
      <c r="AC69" s="146">
        <v>20</v>
      </c>
      <c r="AD69" s="91"/>
      <c r="AE69" s="146"/>
    </row>
    <row r="70" spans="1:31" x14ac:dyDescent="0.3">
      <c r="A70" s="75" t="s">
        <v>930</v>
      </c>
      <c r="B70" s="125" t="s">
        <v>937</v>
      </c>
      <c r="C70" s="86"/>
      <c r="D70" s="18" t="s">
        <v>956</v>
      </c>
      <c r="E70" s="19" t="s">
        <v>964</v>
      </c>
      <c r="F70" s="61" t="s">
        <v>520</v>
      </c>
      <c r="G70" s="114"/>
      <c r="H70" s="114"/>
      <c r="I70" s="114"/>
      <c r="J70" s="152"/>
      <c r="K70" s="162"/>
      <c r="L70" s="114"/>
      <c r="M70" s="152">
        <v>1</v>
      </c>
      <c r="N70" s="135"/>
      <c r="O70" s="114"/>
      <c r="P70" s="7">
        <v>5.52</v>
      </c>
      <c r="Q70" s="70">
        <f t="shared" si="26"/>
        <v>13.9</v>
      </c>
      <c r="R70" s="71">
        <f t="shared" si="27"/>
        <v>19.899999999999999</v>
      </c>
      <c r="S70" s="70">
        <f t="shared" si="48"/>
        <v>35</v>
      </c>
      <c r="T70" s="5" t="s">
        <v>134</v>
      </c>
      <c r="U70" s="73" t="s">
        <v>551</v>
      </c>
      <c r="V70" s="47"/>
      <c r="W70" s="46"/>
      <c r="X70" s="153"/>
      <c r="Y70" s="101"/>
      <c r="Z70" s="153"/>
      <c r="AA70" s="104"/>
      <c r="AB70" s="122">
        <v>4</v>
      </c>
      <c r="AC70" s="146">
        <v>4</v>
      </c>
      <c r="AD70" s="91"/>
      <c r="AE70" s="146"/>
    </row>
    <row r="71" spans="1:31" x14ac:dyDescent="0.3">
      <c r="A71" s="75" t="s">
        <v>358</v>
      </c>
      <c r="B71" s="125" t="s">
        <v>938</v>
      </c>
      <c r="C71" s="86"/>
      <c r="D71" s="18" t="s">
        <v>284</v>
      </c>
      <c r="E71" s="19" t="s">
        <v>285</v>
      </c>
      <c r="F71" s="61" t="s">
        <v>514</v>
      </c>
      <c r="G71" s="114"/>
      <c r="H71" s="114"/>
      <c r="I71" s="114"/>
      <c r="J71" s="152"/>
      <c r="K71" s="162"/>
      <c r="L71" s="114"/>
      <c r="M71" s="152">
        <v>1</v>
      </c>
      <c r="N71" s="135"/>
      <c r="O71" s="114"/>
      <c r="P71" s="7">
        <v>11.49</v>
      </c>
      <c r="Q71" s="70">
        <f t="shared" si="26"/>
        <v>24.7</v>
      </c>
      <c r="R71" s="71">
        <f t="shared" si="27"/>
        <v>30.7</v>
      </c>
      <c r="S71" s="70">
        <f t="shared" si="48"/>
        <v>54</v>
      </c>
      <c r="T71" s="5" t="s">
        <v>287</v>
      </c>
      <c r="U71" s="154" t="s">
        <v>546</v>
      </c>
      <c r="V71" s="47"/>
      <c r="W71" s="46"/>
      <c r="X71" s="153"/>
      <c r="Y71" s="101"/>
      <c r="Z71" s="153"/>
      <c r="AA71" s="104"/>
      <c r="AB71" s="122">
        <v>10</v>
      </c>
      <c r="AC71" s="146">
        <v>10</v>
      </c>
      <c r="AD71" s="91"/>
      <c r="AE71" s="146"/>
    </row>
    <row r="72" spans="1:31" ht="30" customHeight="1" x14ac:dyDescent="0.3">
      <c r="A72" s="75" t="s">
        <v>384</v>
      </c>
      <c r="B72" s="125" t="s">
        <v>939</v>
      </c>
      <c r="C72" s="86"/>
      <c r="D72" s="18" t="s">
        <v>660</v>
      </c>
      <c r="E72" s="19" t="s">
        <v>472</v>
      </c>
      <c r="F72" s="20" t="s">
        <v>529</v>
      </c>
      <c r="G72" s="114"/>
      <c r="H72" s="114"/>
      <c r="I72" s="114"/>
      <c r="J72" s="152"/>
      <c r="K72" s="162"/>
      <c r="L72" s="114"/>
      <c r="M72" s="152">
        <v>1</v>
      </c>
      <c r="N72" s="135"/>
      <c r="O72" s="114"/>
      <c r="P72" s="7">
        <v>50.24</v>
      </c>
      <c r="Q72" s="70">
        <f t="shared" si="26"/>
        <v>94.4</v>
      </c>
      <c r="R72" s="71">
        <f t="shared" si="27"/>
        <v>100.4</v>
      </c>
      <c r="S72" s="70">
        <f t="shared" si="48"/>
        <v>175</v>
      </c>
      <c r="T72" s="5" t="s">
        <v>136</v>
      </c>
      <c r="U72" s="113"/>
      <c r="V72" s="47"/>
      <c r="W72" s="46"/>
      <c r="X72" s="153"/>
      <c r="Y72" s="101"/>
      <c r="Z72" s="153"/>
      <c r="AA72" s="104"/>
      <c r="AB72" s="122">
        <v>4</v>
      </c>
      <c r="AC72" s="146">
        <v>4</v>
      </c>
      <c r="AD72" s="91"/>
      <c r="AE72" s="146"/>
    </row>
    <row r="73" spans="1:31" ht="28.8" x14ac:dyDescent="0.3">
      <c r="A73" s="75" t="s">
        <v>378</v>
      </c>
      <c r="B73" s="125" t="s">
        <v>972</v>
      </c>
      <c r="C73" s="86"/>
      <c r="D73" s="18" t="s">
        <v>957</v>
      </c>
      <c r="E73" s="19" t="s">
        <v>973</v>
      </c>
      <c r="F73" s="20" t="s">
        <v>526</v>
      </c>
      <c r="G73" s="114"/>
      <c r="H73" s="114"/>
      <c r="I73" s="114"/>
      <c r="J73" s="152"/>
      <c r="K73" s="162"/>
      <c r="L73" s="114"/>
      <c r="M73" s="152">
        <v>1</v>
      </c>
      <c r="N73" s="135"/>
      <c r="O73" s="114"/>
      <c r="P73" s="7">
        <v>7.02</v>
      </c>
      <c r="Q73" s="70">
        <f t="shared" si="26"/>
        <v>16.600000000000001</v>
      </c>
      <c r="R73" s="71">
        <f t="shared" si="27"/>
        <v>22.6</v>
      </c>
      <c r="S73" s="70">
        <f t="shared" ref="S73" si="49">ROUND(R73/0.7*1.22,0)</f>
        <v>39</v>
      </c>
      <c r="T73" s="5" t="s">
        <v>134</v>
      </c>
      <c r="U73" s="73" t="s">
        <v>555</v>
      </c>
      <c r="V73" s="47"/>
      <c r="W73" s="46"/>
      <c r="X73" s="153"/>
      <c r="Y73" s="101"/>
      <c r="Z73" s="153"/>
      <c r="AA73" s="104"/>
      <c r="AB73" s="122">
        <v>3</v>
      </c>
      <c r="AC73" s="146">
        <v>3</v>
      </c>
      <c r="AD73" s="91"/>
      <c r="AE73" s="146"/>
    </row>
    <row r="74" spans="1:31" ht="28.8" x14ac:dyDescent="0.3">
      <c r="A74" s="75" t="s">
        <v>377</v>
      </c>
      <c r="B74" s="125" t="s">
        <v>940</v>
      </c>
      <c r="C74" s="86"/>
      <c r="D74" s="18" t="s">
        <v>957</v>
      </c>
      <c r="E74" s="19" t="s">
        <v>965</v>
      </c>
      <c r="F74" s="20" t="s">
        <v>525</v>
      </c>
      <c r="G74" s="114"/>
      <c r="H74" s="114"/>
      <c r="I74" s="114"/>
      <c r="J74" s="152"/>
      <c r="K74" s="162"/>
      <c r="L74" s="114"/>
      <c r="M74" s="152">
        <v>1</v>
      </c>
      <c r="N74" s="135"/>
      <c r="O74" s="114"/>
      <c r="P74" s="7">
        <v>7.02</v>
      </c>
      <c r="Q74" s="70">
        <f t="shared" si="26"/>
        <v>16.600000000000001</v>
      </c>
      <c r="R74" s="71">
        <f t="shared" si="27"/>
        <v>22.6</v>
      </c>
      <c r="S74" s="70">
        <f t="shared" si="48"/>
        <v>39</v>
      </c>
      <c r="T74" s="5" t="s">
        <v>134</v>
      </c>
      <c r="U74" s="113" t="s">
        <v>555</v>
      </c>
      <c r="V74" s="47"/>
      <c r="W74" s="46"/>
      <c r="X74" s="153"/>
      <c r="Y74" s="101"/>
      <c r="Z74" s="153"/>
      <c r="AA74" s="104"/>
      <c r="AB74" s="122">
        <v>3</v>
      </c>
      <c r="AC74" s="146">
        <v>3</v>
      </c>
      <c r="AD74" s="91"/>
      <c r="AE74" s="146"/>
    </row>
    <row r="75" spans="1:31" x14ac:dyDescent="0.3">
      <c r="A75" s="75" t="s">
        <v>931</v>
      </c>
      <c r="B75" s="125" t="s">
        <v>941</v>
      </c>
      <c r="C75" s="86"/>
      <c r="D75" s="18" t="s">
        <v>6</v>
      </c>
      <c r="E75" s="19" t="s">
        <v>7</v>
      </c>
      <c r="F75" s="20" t="s">
        <v>125</v>
      </c>
      <c r="G75" s="114"/>
      <c r="H75" s="114"/>
      <c r="I75" s="114"/>
      <c r="J75" s="152"/>
      <c r="K75" s="162"/>
      <c r="L75" s="114"/>
      <c r="M75" s="152">
        <v>1</v>
      </c>
      <c r="N75" s="135"/>
      <c r="O75" s="114"/>
      <c r="P75" s="7">
        <v>0.23</v>
      </c>
      <c r="Q75" s="70">
        <f t="shared" si="26"/>
        <v>4.4000000000000004</v>
      </c>
      <c r="R75" s="71">
        <f t="shared" si="27"/>
        <v>10.4</v>
      </c>
      <c r="S75" s="70">
        <f t="shared" si="48"/>
        <v>18</v>
      </c>
      <c r="T75" s="5" t="s">
        <v>1</v>
      </c>
      <c r="U75" s="73" t="s">
        <v>671</v>
      </c>
      <c r="V75" s="47"/>
      <c r="W75" s="46"/>
      <c r="X75" s="153"/>
      <c r="Y75" s="101"/>
      <c r="Z75" s="153"/>
      <c r="AA75" s="104"/>
      <c r="AB75" s="122">
        <v>5</v>
      </c>
      <c r="AC75" s="146">
        <v>5</v>
      </c>
      <c r="AD75" s="91"/>
      <c r="AE75" s="146"/>
    </row>
    <row r="76" spans="1:31" x14ac:dyDescent="0.3">
      <c r="A76" s="75" t="s">
        <v>375</v>
      </c>
      <c r="B76" s="125" t="s">
        <v>942</v>
      </c>
      <c r="C76" s="86"/>
      <c r="D76" s="18" t="s">
        <v>953</v>
      </c>
      <c r="E76" s="19" t="s">
        <v>962</v>
      </c>
      <c r="F76" s="20" t="s">
        <v>523</v>
      </c>
      <c r="G76" s="114"/>
      <c r="H76" s="114"/>
      <c r="I76" s="114"/>
      <c r="J76" s="152"/>
      <c r="K76" s="162"/>
      <c r="L76" s="114"/>
      <c r="M76" s="152">
        <v>1</v>
      </c>
      <c r="N76" s="135"/>
      <c r="O76" s="114"/>
      <c r="P76" s="7">
        <v>4.6100000000000003</v>
      </c>
      <c r="Q76" s="70">
        <f t="shared" si="26"/>
        <v>12.3</v>
      </c>
      <c r="R76" s="71">
        <f t="shared" si="27"/>
        <v>18.3</v>
      </c>
      <c r="S76" s="70">
        <f t="shared" si="48"/>
        <v>32</v>
      </c>
      <c r="T76" s="5" t="s">
        <v>1</v>
      </c>
      <c r="U76" s="73" t="s">
        <v>553</v>
      </c>
      <c r="V76" s="47"/>
      <c r="W76" s="46"/>
      <c r="X76" s="153"/>
      <c r="Y76" s="101"/>
      <c r="Z76" s="153"/>
      <c r="AA76" s="104"/>
      <c r="AB76" s="122">
        <v>20</v>
      </c>
      <c r="AC76" s="146">
        <v>20</v>
      </c>
      <c r="AD76" s="91"/>
      <c r="AE76" s="146"/>
    </row>
    <row r="77" spans="1:31" x14ac:dyDescent="0.3">
      <c r="A77" s="75" t="s">
        <v>1015</v>
      </c>
      <c r="B77" s="125" t="s">
        <v>943</v>
      </c>
      <c r="C77" s="86"/>
      <c r="D77" s="18" t="s">
        <v>958</v>
      </c>
      <c r="E77" s="19" t="s">
        <v>966</v>
      </c>
      <c r="F77" s="20" t="s">
        <v>975</v>
      </c>
      <c r="G77" s="114"/>
      <c r="H77" s="114"/>
      <c r="I77" s="114"/>
      <c r="J77" s="152"/>
      <c r="K77" s="162"/>
      <c r="L77" s="114"/>
      <c r="M77" s="152">
        <v>1</v>
      </c>
      <c r="N77" s="135"/>
      <c r="O77" s="114"/>
      <c r="P77" s="7">
        <v>9.23</v>
      </c>
      <c r="Q77" s="70">
        <f t="shared" si="26"/>
        <v>20.6</v>
      </c>
      <c r="R77" s="71">
        <f t="shared" si="27"/>
        <v>26.6</v>
      </c>
      <c r="S77" s="70">
        <f t="shared" si="48"/>
        <v>46</v>
      </c>
      <c r="T77" s="5" t="s">
        <v>1</v>
      </c>
      <c r="U77" s="113" t="s">
        <v>974</v>
      </c>
      <c r="V77" s="47"/>
      <c r="W77" s="46"/>
      <c r="X77" s="153"/>
      <c r="Y77" s="101"/>
      <c r="Z77" s="153"/>
      <c r="AA77" s="104"/>
      <c r="AB77" s="122">
        <v>25</v>
      </c>
      <c r="AC77" s="146">
        <v>25</v>
      </c>
      <c r="AD77" s="91"/>
      <c r="AE77" s="146"/>
    </row>
    <row r="78" spans="1:31" x14ac:dyDescent="0.3">
      <c r="A78" s="75" t="s">
        <v>1016</v>
      </c>
      <c r="B78" s="125" t="s">
        <v>944</v>
      </c>
      <c r="C78" s="86"/>
      <c r="D78" s="18" t="s">
        <v>959</v>
      </c>
      <c r="E78" s="19" t="s">
        <v>967</v>
      </c>
      <c r="F78" s="20" t="s">
        <v>977</v>
      </c>
      <c r="G78" s="114"/>
      <c r="H78" s="114"/>
      <c r="I78" s="114"/>
      <c r="J78" s="152"/>
      <c r="K78" s="162"/>
      <c r="L78" s="114"/>
      <c r="M78" s="152">
        <v>1</v>
      </c>
      <c r="N78" s="135"/>
      <c r="O78" s="114"/>
      <c r="P78" s="7">
        <v>4.55</v>
      </c>
      <c r="Q78" s="70">
        <f t="shared" ref="Q78:Q91" si="50">ROUND((P78*1.2*1.5+4)*10,0)/10</f>
        <v>12.2</v>
      </c>
      <c r="R78" s="71">
        <f t="shared" ref="R78:R91" si="51">ROUND((P78*1.2*1.5+10)*10,0)/10</f>
        <v>18.2</v>
      </c>
      <c r="S78" s="70">
        <f t="shared" si="48"/>
        <v>32</v>
      </c>
      <c r="T78" s="5" t="s">
        <v>1</v>
      </c>
      <c r="U78" s="113" t="s">
        <v>976</v>
      </c>
      <c r="V78" s="47"/>
      <c r="W78" s="46"/>
      <c r="X78" s="153"/>
      <c r="Y78" s="101"/>
      <c r="Z78" s="153"/>
      <c r="AA78" s="104"/>
      <c r="AB78" s="122">
        <v>15</v>
      </c>
      <c r="AC78" s="146">
        <v>15</v>
      </c>
      <c r="AD78" s="91"/>
      <c r="AE78" s="146"/>
    </row>
    <row r="79" spans="1:31" x14ac:dyDescent="0.3">
      <c r="A79" s="75" t="s">
        <v>1017</v>
      </c>
      <c r="B79" s="125" t="s">
        <v>945</v>
      </c>
      <c r="C79" s="86"/>
      <c r="D79" s="18" t="s">
        <v>868</v>
      </c>
      <c r="E79" s="19" t="s">
        <v>249</v>
      </c>
      <c r="F79" s="20" t="s">
        <v>517</v>
      </c>
      <c r="G79" s="114"/>
      <c r="H79" s="114"/>
      <c r="I79" s="114"/>
      <c r="J79" s="152"/>
      <c r="K79" s="162"/>
      <c r="L79" s="114"/>
      <c r="M79" s="152">
        <v>1</v>
      </c>
      <c r="N79" s="135"/>
      <c r="O79" s="114"/>
      <c r="P79" s="7">
        <v>11.04</v>
      </c>
      <c r="Q79" s="70">
        <f t="shared" si="50"/>
        <v>23.9</v>
      </c>
      <c r="R79" s="71">
        <f t="shared" si="51"/>
        <v>29.9</v>
      </c>
      <c r="S79" s="70">
        <f t="shared" si="48"/>
        <v>52</v>
      </c>
      <c r="T79" s="5" t="s">
        <v>1</v>
      </c>
      <c r="U79" s="113" t="s">
        <v>549</v>
      </c>
      <c r="V79" s="47"/>
      <c r="W79" s="46"/>
      <c r="X79" s="153"/>
      <c r="Y79" s="101"/>
      <c r="Z79" s="153"/>
      <c r="AA79" s="104"/>
      <c r="AB79" s="122">
        <v>15</v>
      </c>
      <c r="AC79" s="146">
        <v>15</v>
      </c>
      <c r="AD79" s="91"/>
      <c r="AE79" s="146"/>
    </row>
    <row r="80" spans="1:31" x14ac:dyDescent="0.3">
      <c r="A80" s="75" t="s">
        <v>380</v>
      </c>
      <c r="B80" s="125" t="s">
        <v>946</v>
      </c>
      <c r="C80" s="86"/>
      <c r="D80" s="18" t="s">
        <v>284</v>
      </c>
      <c r="E80" s="19" t="s">
        <v>285</v>
      </c>
      <c r="F80" s="61" t="s">
        <v>528</v>
      </c>
      <c r="G80" s="114"/>
      <c r="H80" s="114"/>
      <c r="I80" s="114"/>
      <c r="J80" s="152"/>
      <c r="K80" s="162"/>
      <c r="L80" s="114"/>
      <c r="M80" s="152">
        <v>1</v>
      </c>
      <c r="N80" s="135"/>
      <c r="O80" s="114"/>
      <c r="P80" s="7">
        <v>5.99</v>
      </c>
      <c r="Q80" s="70">
        <f t="shared" si="50"/>
        <v>14.8</v>
      </c>
      <c r="R80" s="71">
        <f t="shared" si="51"/>
        <v>20.8</v>
      </c>
      <c r="S80" s="70">
        <f t="shared" si="48"/>
        <v>36</v>
      </c>
      <c r="T80" s="5" t="s">
        <v>287</v>
      </c>
      <c r="U80" s="154" t="s">
        <v>557</v>
      </c>
      <c r="V80" s="47"/>
      <c r="W80" s="46"/>
      <c r="X80" s="153"/>
      <c r="Y80" s="101"/>
      <c r="Z80" s="153"/>
      <c r="AA80" s="104"/>
      <c r="AB80" s="122">
        <v>20</v>
      </c>
      <c r="AC80" s="146">
        <v>20</v>
      </c>
      <c r="AD80" s="91"/>
      <c r="AE80" s="146"/>
    </row>
    <row r="81" spans="1:31" x14ac:dyDescent="0.3">
      <c r="A81" s="75" t="s">
        <v>932</v>
      </c>
      <c r="B81" s="125" t="s">
        <v>947</v>
      </c>
      <c r="C81" s="86"/>
      <c r="D81" s="18" t="s">
        <v>6</v>
      </c>
      <c r="E81" s="19" t="s">
        <v>7</v>
      </c>
      <c r="F81" s="20" t="s">
        <v>125</v>
      </c>
      <c r="G81" s="114"/>
      <c r="H81" s="114"/>
      <c r="I81" s="114"/>
      <c r="J81" s="152"/>
      <c r="K81" s="162"/>
      <c r="L81" s="114"/>
      <c r="M81" s="152">
        <v>1</v>
      </c>
      <c r="N81" s="135"/>
      <c r="O81" s="114"/>
      <c r="P81" s="7">
        <v>6.81</v>
      </c>
      <c r="Q81" s="70">
        <f t="shared" si="50"/>
        <v>16.3</v>
      </c>
      <c r="R81" s="71">
        <f t="shared" si="51"/>
        <v>22.3</v>
      </c>
      <c r="S81" s="70">
        <f t="shared" si="48"/>
        <v>39</v>
      </c>
      <c r="T81" s="5" t="s">
        <v>1</v>
      </c>
      <c r="U81" s="73" t="s">
        <v>671</v>
      </c>
      <c r="V81" s="47"/>
      <c r="W81" s="46"/>
      <c r="X81" s="153"/>
      <c r="Y81" s="101"/>
      <c r="Z81" s="153"/>
      <c r="AA81" s="104"/>
      <c r="AB81" s="122">
        <v>5</v>
      </c>
      <c r="AC81" s="146">
        <v>5</v>
      </c>
      <c r="AD81" s="91"/>
      <c r="AE81" s="146"/>
    </row>
    <row r="82" spans="1:31" x14ac:dyDescent="0.3">
      <c r="A82" s="75" t="s">
        <v>370</v>
      </c>
      <c r="B82" s="125" t="s">
        <v>948</v>
      </c>
      <c r="C82" s="86"/>
      <c r="D82" s="18" t="s">
        <v>960</v>
      </c>
      <c r="E82" s="19" t="s">
        <v>968</v>
      </c>
      <c r="F82" s="20" t="s">
        <v>520</v>
      </c>
      <c r="G82" s="114"/>
      <c r="H82" s="114"/>
      <c r="I82" s="114"/>
      <c r="J82" s="152"/>
      <c r="K82" s="162"/>
      <c r="L82" s="114"/>
      <c r="M82" s="152">
        <v>1</v>
      </c>
      <c r="N82" s="135"/>
      <c r="O82" s="114"/>
      <c r="P82" s="7">
        <v>7.35</v>
      </c>
      <c r="Q82" s="70">
        <f t="shared" si="50"/>
        <v>17.2</v>
      </c>
      <c r="R82" s="71">
        <f t="shared" si="51"/>
        <v>23.2</v>
      </c>
      <c r="S82" s="70">
        <f t="shared" si="48"/>
        <v>40</v>
      </c>
      <c r="T82" s="5" t="s">
        <v>134</v>
      </c>
      <c r="U82" s="73" t="s">
        <v>551</v>
      </c>
      <c r="V82" s="47"/>
      <c r="W82" s="46"/>
      <c r="X82" s="153"/>
      <c r="Y82" s="101"/>
      <c r="Z82" s="153"/>
      <c r="AA82" s="104"/>
      <c r="AB82" s="122">
        <v>3</v>
      </c>
      <c r="AC82" s="146">
        <v>3</v>
      </c>
      <c r="AD82" s="91"/>
      <c r="AE82" s="146"/>
    </row>
    <row r="83" spans="1:31" x14ac:dyDescent="0.3">
      <c r="A83" s="75" t="s">
        <v>395</v>
      </c>
      <c r="B83" s="125" t="s">
        <v>949</v>
      </c>
      <c r="C83" s="86"/>
      <c r="D83" s="18" t="s">
        <v>916</v>
      </c>
      <c r="E83" s="19" t="s">
        <v>494</v>
      </c>
      <c r="F83" s="61" t="s">
        <v>538</v>
      </c>
      <c r="G83" s="114"/>
      <c r="H83" s="114"/>
      <c r="I83" s="114"/>
      <c r="J83" s="152"/>
      <c r="K83" s="162"/>
      <c r="L83" s="114"/>
      <c r="M83" s="152">
        <v>1</v>
      </c>
      <c r="N83" s="135"/>
      <c r="O83" s="114"/>
      <c r="P83" s="7">
        <v>30.38</v>
      </c>
      <c r="Q83" s="70">
        <f t="shared" si="50"/>
        <v>58.7</v>
      </c>
      <c r="R83" s="71">
        <f t="shared" si="51"/>
        <v>64.7</v>
      </c>
      <c r="S83" s="70">
        <f t="shared" si="48"/>
        <v>113</v>
      </c>
      <c r="T83" s="5" t="s">
        <v>136</v>
      </c>
      <c r="U83" s="154" t="s">
        <v>566</v>
      </c>
      <c r="V83" s="47"/>
      <c r="W83" s="46"/>
      <c r="X83" s="153"/>
      <c r="Y83" s="101"/>
      <c r="Z83" s="153"/>
      <c r="AA83" s="104"/>
      <c r="AB83" s="122">
        <v>3</v>
      </c>
      <c r="AC83" s="146">
        <v>3</v>
      </c>
      <c r="AD83" s="91"/>
      <c r="AE83" s="146"/>
    </row>
    <row r="84" spans="1:31" x14ac:dyDescent="0.3">
      <c r="A84" s="75" t="s">
        <v>395</v>
      </c>
      <c r="B84" s="163" t="s">
        <v>1028</v>
      </c>
      <c r="C84" s="86"/>
      <c r="D84" s="18" t="s">
        <v>916</v>
      </c>
      <c r="E84" s="19" t="s">
        <v>494</v>
      </c>
      <c r="F84" s="61" t="s">
        <v>538</v>
      </c>
      <c r="G84" s="114"/>
      <c r="H84" s="114"/>
      <c r="I84" s="114"/>
      <c r="J84" s="152"/>
      <c r="K84" s="162">
        <v>1</v>
      </c>
      <c r="L84" s="114"/>
      <c r="M84" s="152"/>
      <c r="N84" s="135"/>
      <c r="O84" s="114"/>
      <c r="P84" s="7">
        <v>18.760000000000002</v>
      </c>
      <c r="Q84" s="70">
        <f t="shared" ref="Q84" si="52">ROUND((P84*1.2*1.5+4)*10,0)/10</f>
        <v>37.799999999999997</v>
      </c>
      <c r="R84" s="71">
        <f t="shared" ref="R84" si="53">ROUND((P84*1.2*1.5+10)*10,0)/10</f>
        <v>43.8</v>
      </c>
      <c r="S84" s="70">
        <f t="shared" ref="S84" si="54">ROUND(R84/0.7*1.22,0)</f>
        <v>76</v>
      </c>
      <c r="T84" s="5" t="s">
        <v>136</v>
      </c>
      <c r="U84" s="154" t="s">
        <v>566</v>
      </c>
      <c r="V84" s="47"/>
      <c r="W84" s="46"/>
      <c r="X84" s="153"/>
      <c r="Y84" s="101"/>
      <c r="Z84" s="153"/>
      <c r="AA84" s="104"/>
      <c r="AB84" s="91"/>
      <c r="AC84" s="146"/>
      <c r="AD84" s="122">
        <v>1</v>
      </c>
      <c r="AE84" s="146">
        <v>1</v>
      </c>
    </row>
    <row r="85" spans="1:31" x14ac:dyDescent="0.3">
      <c r="A85" s="75" t="s">
        <v>933</v>
      </c>
      <c r="B85" s="125" t="s">
        <v>950</v>
      </c>
      <c r="C85" s="86"/>
      <c r="D85" s="18" t="s">
        <v>915</v>
      </c>
      <c r="E85" s="19" t="s">
        <v>926</v>
      </c>
      <c r="F85" s="61" t="s">
        <v>928</v>
      </c>
      <c r="G85" s="114"/>
      <c r="H85" s="114"/>
      <c r="I85" s="114"/>
      <c r="J85" s="152"/>
      <c r="K85" s="162"/>
      <c r="L85" s="114"/>
      <c r="M85" s="158">
        <v>1</v>
      </c>
      <c r="N85" s="135"/>
      <c r="O85" s="114"/>
      <c r="P85" s="7">
        <v>0.03</v>
      </c>
      <c r="Q85" s="70">
        <f t="shared" si="50"/>
        <v>4.0999999999999996</v>
      </c>
      <c r="R85" s="71">
        <f t="shared" si="51"/>
        <v>10.1</v>
      </c>
      <c r="S85" s="70">
        <f t="shared" si="48"/>
        <v>18</v>
      </c>
      <c r="T85" s="5" t="s">
        <v>137</v>
      </c>
      <c r="U85" s="113"/>
      <c r="V85" s="47"/>
      <c r="W85" s="46"/>
      <c r="X85" s="153"/>
      <c r="Y85" s="101"/>
      <c r="Z85" s="153"/>
      <c r="AA85" s="104"/>
      <c r="AB85" s="122">
        <v>5</v>
      </c>
      <c r="AC85" s="146">
        <v>5</v>
      </c>
      <c r="AD85" s="91"/>
      <c r="AE85" s="146"/>
    </row>
    <row r="86" spans="1:31" x14ac:dyDescent="0.3">
      <c r="A86" s="75" t="s">
        <v>1018</v>
      </c>
      <c r="B86" s="125" t="s">
        <v>951</v>
      </c>
      <c r="C86" s="86"/>
      <c r="D86" s="18" t="s">
        <v>961</v>
      </c>
      <c r="E86" s="19" t="s">
        <v>969</v>
      </c>
      <c r="F86" s="61" t="s">
        <v>538</v>
      </c>
      <c r="G86" s="114"/>
      <c r="H86" s="114"/>
      <c r="I86" s="114"/>
      <c r="J86" s="152"/>
      <c r="K86" s="162"/>
      <c r="L86" s="114"/>
      <c r="M86" s="152">
        <v>1</v>
      </c>
      <c r="N86" s="135"/>
      <c r="O86" s="114"/>
      <c r="P86" s="7">
        <v>6.42</v>
      </c>
      <c r="Q86" s="70">
        <f t="shared" si="50"/>
        <v>15.6</v>
      </c>
      <c r="R86" s="71">
        <f t="shared" si="51"/>
        <v>21.6</v>
      </c>
      <c r="S86" s="70">
        <f t="shared" si="48"/>
        <v>38</v>
      </c>
      <c r="T86" s="5" t="s">
        <v>136</v>
      </c>
      <c r="U86" s="154" t="s">
        <v>566</v>
      </c>
      <c r="V86" s="47"/>
      <c r="W86" s="46"/>
      <c r="X86" s="153"/>
      <c r="Y86" s="101"/>
      <c r="Z86" s="153"/>
      <c r="AA86" s="104"/>
      <c r="AB86" s="122">
        <v>3</v>
      </c>
      <c r="AC86" s="146">
        <v>3</v>
      </c>
      <c r="AD86" s="91"/>
      <c r="AE86" s="146"/>
    </row>
    <row r="87" spans="1:31" x14ac:dyDescent="0.3">
      <c r="A87" s="75" t="s">
        <v>351</v>
      </c>
      <c r="B87" s="125" t="s">
        <v>985</v>
      </c>
      <c r="C87" s="86"/>
      <c r="D87" s="18" t="s">
        <v>986</v>
      </c>
      <c r="E87" s="19" t="s">
        <v>987</v>
      </c>
      <c r="F87" s="20" t="s">
        <v>513</v>
      </c>
      <c r="G87" s="114"/>
      <c r="H87" s="114"/>
      <c r="I87" s="114"/>
      <c r="J87" s="152"/>
      <c r="K87" s="162"/>
      <c r="L87" s="114"/>
      <c r="M87" s="152">
        <v>1</v>
      </c>
      <c r="N87" s="135"/>
      <c r="O87" s="114"/>
      <c r="P87" s="7">
        <v>4.71</v>
      </c>
      <c r="Q87" s="70">
        <f t="shared" si="50"/>
        <v>12.5</v>
      </c>
      <c r="R87" s="71">
        <f t="shared" si="51"/>
        <v>18.5</v>
      </c>
      <c r="S87" s="70">
        <f t="shared" si="48"/>
        <v>32</v>
      </c>
      <c r="T87" s="5" t="s">
        <v>137</v>
      </c>
      <c r="U87" s="73" t="s">
        <v>545</v>
      </c>
      <c r="V87" s="47"/>
      <c r="W87" s="46"/>
      <c r="X87" s="153"/>
      <c r="Y87" s="101"/>
      <c r="Z87" s="153"/>
      <c r="AA87" s="104"/>
      <c r="AB87" s="122">
        <v>5</v>
      </c>
      <c r="AC87" s="146">
        <v>5</v>
      </c>
      <c r="AD87" s="91"/>
      <c r="AE87" s="146"/>
    </row>
    <row r="88" spans="1:31" x14ac:dyDescent="0.3">
      <c r="A88" s="75" t="s">
        <v>387</v>
      </c>
      <c r="B88" s="125" t="s">
        <v>988</v>
      </c>
      <c r="C88" s="86"/>
      <c r="D88" s="18" t="s">
        <v>989</v>
      </c>
      <c r="E88" s="19" t="s">
        <v>478</v>
      </c>
      <c r="F88" s="20" t="s">
        <v>531</v>
      </c>
      <c r="G88" s="114"/>
      <c r="H88" s="114"/>
      <c r="I88" s="114"/>
      <c r="J88" s="152"/>
      <c r="K88" s="162"/>
      <c r="L88" s="114"/>
      <c r="M88" s="152">
        <v>2</v>
      </c>
      <c r="N88" s="135"/>
      <c r="O88" s="114"/>
      <c r="P88" s="155">
        <v>2.81</v>
      </c>
      <c r="Q88" s="70">
        <f t="shared" si="50"/>
        <v>9.1</v>
      </c>
      <c r="R88" s="71">
        <f t="shared" si="51"/>
        <v>15.1</v>
      </c>
      <c r="S88" s="70">
        <f t="shared" si="48"/>
        <v>26</v>
      </c>
      <c r="T88" s="5" t="s">
        <v>137</v>
      </c>
      <c r="U88" s="73" t="s">
        <v>559</v>
      </c>
      <c r="V88" s="47"/>
      <c r="W88" s="46"/>
      <c r="X88" s="153"/>
      <c r="Y88" s="101"/>
      <c r="Z88" s="153"/>
      <c r="AA88" s="104"/>
      <c r="AB88" s="122">
        <v>20</v>
      </c>
      <c r="AC88" s="146">
        <v>20</v>
      </c>
      <c r="AD88" s="91"/>
      <c r="AE88" s="146"/>
    </row>
    <row r="89" spans="1:31" x14ac:dyDescent="0.3">
      <c r="A89" s="75" t="s">
        <v>398</v>
      </c>
      <c r="B89" s="125" t="s">
        <v>990</v>
      </c>
      <c r="C89" s="86"/>
      <c r="D89" s="18" t="s">
        <v>65</v>
      </c>
      <c r="E89" s="19" t="s">
        <v>66</v>
      </c>
      <c r="F89" s="20" t="s">
        <v>539</v>
      </c>
      <c r="G89" s="114"/>
      <c r="H89" s="114"/>
      <c r="I89" s="114"/>
      <c r="J89" s="152"/>
      <c r="K89" s="162"/>
      <c r="L89" s="114"/>
      <c r="M89" s="152">
        <v>2</v>
      </c>
      <c r="N89" s="135"/>
      <c r="O89" s="114"/>
      <c r="P89" s="155">
        <v>2.54</v>
      </c>
      <c r="Q89" s="70">
        <f t="shared" si="50"/>
        <v>8.6</v>
      </c>
      <c r="R89" s="71">
        <f t="shared" si="51"/>
        <v>14.6</v>
      </c>
      <c r="S89" s="70">
        <f t="shared" si="48"/>
        <v>25</v>
      </c>
      <c r="T89" s="5" t="s">
        <v>137</v>
      </c>
      <c r="U89" s="73" t="s">
        <v>567</v>
      </c>
      <c r="V89" s="47"/>
      <c r="W89" s="46"/>
      <c r="X89" s="153"/>
      <c r="Y89" s="101"/>
      <c r="Z89" s="153"/>
      <c r="AA89" s="104"/>
      <c r="AB89" s="122">
        <v>8</v>
      </c>
      <c r="AC89" s="146">
        <v>8</v>
      </c>
      <c r="AD89" s="91"/>
      <c r="AE89" s="146"/>
    </row>
    <row r="90" spans="1:31" x14ac:dyDescent="0.3">
      <c r="A90" s="75" t="s">
        <v>389</v>
      </c>
      <c r="B90" s="125" t="s">
        <v>991</v>
      </c>
      <c r="C90" s="86"/>
      <c r="D90" s="18" t="s">
        <v>992</v>
      </c>
      <c r="E90" s="19" t="s">
        <v>993</v>
      </c>
      <c r="F90" s="20" t="s">
        <v>533</v>
      </c>
      <c r="G90" s="114"/>
      <c r="H90" s="114"/>
      <c r="I90" s="114"/>
      <c r="J90" s="152"/>
      <c r="K90" s="162"/>
      <c r="L90" s="114"/>
      <c r="M90" s="152">
        <v>1</v>
      </c>
      <c r="N90" s="135"/>
      <c r="O90" s="114"/>
      <c r="P90" s="155">
        <v>4.76</v>
      </c>
      <c r="Q90" s="70">
        <f t="shared" si="50"/>
        <v>12.6</v>
      </c>
      <c r="R90" s="71">
        <f t="shared" si="51"/>
        <v>18.600000000000001</v>
      </c>
      <c r="S90" s="70">
        <f t="shared" si="48"/>
        <v>32</v>
      </c>
      <c r="T90" s="5" t="s">
        <v>136</v>
      </c>
      <c r="U90" s="73" t="s">
        <v>561</v>
      </c>
      <c r="V90" s="47"/>
      <c r="W90" s="46"/>
      <c r="X90" s="153"/>
      <c r="Y90" s="101"/>
      <c r="Z90" s="153"/>
      <c r="AA90" s="104"/>
      <c r="AB90" s="122">
        <v>10</v>
      </c>
      <c r="AC90" s="146">
        <v>10</v>
      </c>
      <c r="AD90" s="91"/>
      <c r="AE90" s="146"/>
    </row>
    <row r="91" spans="1:31" x14ac:dyDescent="0.3">
      <c r="A91" s="75" t="s">
        <v>390</v>
      </c>
      <c r="B91" s="125" t="s">
        <v>994</v>
      </c>
      <c r="C91" s="86"/>
      <c r="D91" s="18" t="s">
        <v>995</v>
      </c>
      <c r="E91" s="19" t="s">
        <v>996</v>
      </c>
      <c r="F91" s="20" t="s">
        <v>534</v>
      </c>
      <c r="G91" s="114"/>
      <c r="H91" s="114"/>
      <c r="I91" s="114"/>
      <c r="J91" s="152"/>
      <c r="K91" s="162"/>
      <c r="L91" s="114"/>
      <c r="M91" s="152">
        <v>1</v>
      </c>
      <c r="N91" s="135"/>
      <c r="O91" s="114"/>
      <c r="P91" s="155">
        <v>1.2</v>
      </c>
      <c r="Q91" s="70">
        <f t="shared" si="50"/>
        <v>6.2</v>
      </c>
      <c r="R91" s="71">
        <f t="shared" si="51"/>
        <v>12.2</v>
      </c>
      <c r="S91" s="70">
        <f t="shared" si="48"/>
        <v>21</v>
      </c>
      <c r="T91" s="5" t="s">
        <v>136</v>
      </c>
      <c r="U91" s="73" t="s">
        <v>562</v>
      </c>
      <c r="V91" s="47"/>
      <c r="W91" s="46"/>
      <c r="X91" s="153"/>
      <c r="Y91" s="101"/>
      <c r="Z91" s="153"/>
      <c r="AA91" s="104"/>
      <c r="AB91" s="122">
        <v>3</v>
      </c>
      <c r="AC91" s="146">
        <v>3</v>
      </c>
      <c r="AD91" s="91"/>
      <c r="AE91" s="146"/>
    </row>
    <row r="92" spans="1:31" x14ac:dyDescent="0.3">
      <c r="A92" s="75" t="s">
        <v>1001</v>
      </c>
      <c r="B92" s="125" t="s">
        <v>999</v>
      </c>
      <c r="C92" s="86"/>
      <c r="D92" s="18" t="s">
        <v>997</v>
      </c>
      <c r="E92" s="19" t="s">
        <v>998</v>
      </c>
      <c r="F92" s="20" t="s">
        <v>1003</v>
      </c>
      <c r="G92" s="114"/>
      <c r="H92" s="114"/>
      <c r="I92" s="114"/>
      <c r="J92" s="152"/>
      <c r="K92" s="162"/>
      <c r="L92" s="114"/>
      <c r="M92" s="152">
        <v>1</v>
      </c>
      <c r="N92" s="135"/>
      <c r="O92" s="114"/>
      <c r="P92" s="155">
        <v>1.2</v>
      </c>
      <c r="Q92" s="70">
        <f t="shared" ref="Q92:Q93" si="55">ROUND((P92*1.2*1.5+4)*10,0)/10</f>
        <v>6.2</v>
      </c>
      <c r="R92" s="71">
        <f t="shared" ref="R92:R93" si="56">ROUND((P92*1.2*1.5+10)*10,0)/10</f>
        <v>12.2</v>
      </c>
      <c r="S92" s="70">
        <f t="shared" ref="S92:S93" si="57">ROUND(R92/0.7*1.22,0)</f>
        <v>21</v>
      </c>
      <c r="T92" s="5" t="s">
        <v>136</v>
      </c>
      <c r="U92" s="73"/>
      <c r="V92" s="47"/>
      <c r="W92" s="46"/>
      <c r="X92" s="153"/>
      <c r="Y92" s="101"/>
      <c r="Z92" s="153"/>
      <c r="AA92" s="104"/>
      <c r="AB92" s="122">
        <v>10</v>
      </c>
      <c r="AC92" s="146">
        <v>10</v>
      </c>
      <c r="AD92" s="91"/>
      <c r="AE92" s="146"/>
    </row>
    <row r="93" spans="1:31" x14ac:dyDescent="0.3">
      <c r="A93" s="75" t="s">
        <v>1002</v>
      </c>
      <c r="B93" s="125" t="s">
        <v>1000</v>
      </c>
      <c r="C93" s="86"/>
      <c r="D93" s="18" t="s">
        <v>997</v>
      </c>
      <c r="E93" s="19" t="s">
        <v>998</v>
      </c>
      <c r="F93" s="20" t="s">
        <v>1004</v>
      </c>
      <c r="G93" s="114"/>
      <c r="H93" s="114"/>
      <c r="I93" s="114"/>
      <c r="J93" s="152"/>
      <c r="K93" s="162"/>
      <c r="L93" s="114"/>
      <c r="M93" s="152">
        <v>1</v>
      </c>
      <c r="N93" s="135"/>
      <c r="O93" s="114"/>
      <c r="P93" s="155">
        <v>1.2</v>
      </c>
      <c r="Q93" s="70">
        <f t="shared" si="55"/>
        <v>6.2</v>
      </c>
      <c r="R93" s="71">
        <f t="shared" si="56"/>
        <v>12.2</v>
      </c>
      <c r="S93" s="70">
        <f t="shared" si="57"/>
        <v>21</v>
      </c>
      <c r="T93" s="5" t="s">
        <v>136</v>
      </c>
      <c r="U93" s="73"/>
      <c r="V93" s="47"/>
      <c r="W93" s="46"/>
      <c r="X93" s="153"/>
      <c r="Y93" s="101"/>
      <c r="Z93" s="153"/>
      <c r="AA93" s="104"/>
      <c r="AB93" s="122">
        <v>10</v>
      </c>
      <c r="AC93" s="146">
        <v>10</v>
      </c>
      <c r="AD93" s="91"/>
      <c r="AE93" s="146"/>
    </row>
    <row r="94" spans="1:31" x14ac:dyDescent="0.3">
      <c r="A94" s="75" t="s">
        <v>1006</v>
      </c>
      <c r="B94" s="125" t="s">
        <v>1005</v>
      </c>
      <c r="C94" s="86"/>
      <c r="D94" s="18" t="s">
        <v>1007</v>
      </c>
      <c r="E94" s="19" t="s">
        <v>232</v>
      </c>
      <c r="F94" s="20" t="s">
        <v>1008</v>
      </c>
      <c r="G94" s="114"/>
      <c r="H94" s="114"/>
      <c r="I94" s="114"/>
      <c r="J94" s="152"/>
      <c r="K94" s="162"/>
      <c r="L94" s="114"/>
      <c r="M94" s="152">
        <v>1</v>
      </c>
      <c r="N94" s="135"/>
      <c r="O94" s="114"/>
      <c r="P94" s="155">
        <v>4</v>
      </c>
      <c r="Q94" s="70">
        <f>ROUND((P94*1.2*1.5+4)*10,0)/10</f>
        <v>11.2</v>
      </c>
      <c r="R94" s="71">
        <f>ROUND((P94*1.2*1.5+10)*10,0)/10</f>
        <v>17.2</v>
      </c>
      <c r="S94" s="70">
        <f>ROUND(R94/0.7*1.22,0)</f>
        <v>30</v>
      </c>
      <c r="T94" s="5" t="s">
        <v>1</v>
      </c>
      <c r="U94" s="73"/>
      <c r="V94" s="47"/>
      <c r="W94" s="46"/>
      <c r="X94" s="153"/>
      <c r="Y94" s="101"/>
      <c r="Z94" s="153"/>
      <c r="AA94" s="104"/>
      <c r="AB94" s="122">
        <v>25</v>
      </c>
      <c r="AC94" s="146">
        <v>25</v>
      </c>
      <c r="AD94" s="91"/>
      <c r="AE94" s="146"/>
    </row>
    <row r="95" spans="1:31" x14ac:dyDescent="0.3">
      <c r="A95" s="75" t="s">
        <v>373</v>
      </c>
      <c r="B95" s="125" t="s">
        <v>1009</v>
      </c>
      <c r="C95" s="86"/>
      <c r="D95" s="18" t="s">
        <v>1011</v>
      </c>
      <c r="E95" s="19" t="s">
        <v>450</v>
      </c>
      <c r="F95" s="20" t="s">
        <v>1012</v>
      </c>
      <c r="G95" s="114"/>
      <c r="H95" s="114"/>
      <c r="I95" s="114"/>
      <c r="J95" s="152"/>
      <c r="K95" s="162"/>
      <c r="L95" s="114"/>
      <c r="M95" s="152">
        <v>1</v>
      </c>
      <c r="N95" s="135"/>
      <c r="O95" s="114"/>
      <c r="P95" s="155">
        <v>2</v>
      </c>
      <c r="Q95" s="70">
        <f t="shared" ref="Q95:Q96" si="58">ROUND((P95*1.2*1.5+4)*10,0)/10</f>
        <v>7.6</v>
      </c>
      <c r="R95" s="71">
        <f t="shared" ref="R95:R96" si="59">ROUND((P95*1.2*1.5+10)*10,0)/10</f>
        <v>13.6</v>
      </c>
      <c r="S95" s="70">
        <f t="shared" ref="S95:S96" si="60">ROUND(R95/0.7*1.22,0)</f>
        <v>24</v>
      </c>
      <c r="T95" s="5" t="s">
        <v>136</v>
      </c>
      <c r="U95" s="73"/>
      <c r="V95" s="47"/>
      <c r="W95" s="46"/>
      <c r="X95" s="153"/>
      <c r="Y95" s="101"/>
      <c r="Z95" s="153"/>
      <c r="AA95" s="104"/>
      <c r="AB95" s="122">
        <v>2</v>
      </c>
      <c r="AC95" s="146">
        <v>2</v>
      </c>
      <c r="AD95" s="91"/>
      <c r="AE95" s="146"/>
    </row>
    <row r="96" spans="1:31" x14ac:dyDescent="0.3">
      <c r="A96" s="75" t="s">
        <v>396</v>
      </c>
      <c r="B96" s="125" t="s">
        <v>1010</v>
      </c>
      <c r="C96" s="86"/>
      <c r="D96" s="18" t="s">
        <v>983</v>
      </c>
      <c r="E96" s="19" t="s">
        <v>496</v>
      </c>
      <c r="F96" s="20" t="s">
        <v>984</v>
      </c>
      <c r="G96" s="114"/>
      <c r="H96" s="114"/>
      <c r="I96" s="114"/>
      <c r="J96" s="152"/>
      <c r="K96" s="162"/>
      <c r="L96" s="114"/>
      <c r="M96" s="152">
        <v>1</v>
      </c>
      <c r="N96" s="135"/>
      <c r="O96" s="114"/>
      <c r="P96" s="155">
        <v>2</v>
      </c>
      <c r="Q96" s="70">
        <f t="shared" si="58"/>
        <v>7.6</v>
      </c>
      <c r="R96" s="71">
        <f t="shared" si="59"/>
        <v>13.6</v>
      </c>
      <c r="S96" s="70">
        <f t="shared" si="60"/>
        <v>24</v>
      </c>
      <c r="T96" s="5" t="s">
        <v>136</v>
      </c>
      <c r="U96" s="73"/>
      <c r="V96" s="47"/>
      <c r="W96" s="46"/>
      <c r="X96" s="153"/>
      <c r="Y96" s="101"/>
      <c r="Z96" s="153"/>
      <c r="AA96" s="104"/>
      <c r="AB96" s="122">
        <v>2</v>
      </c>
      <c r="AC96" s="146">
        <v>2</v>
      </c>
      <c r="AD96" s="91"/>
      <c r="AE96" s="146"/>
    </row>
    <row r="97" spans="1:31" x14ac:dyDescent="0.3">
      <c r="A97" s="75" t="s">
        <v>356</v>
      </c>
      <c r="B97" s="24" t="s">
        <v>579</v>
      </c>
      <c r="C97" s="86"/>
      <c r="D97" s="18" t="s">
        <v>415</v>
      </c>
      <c r="E97" s="19" t="s">
        <v>416</v>
      </c>
      <c r="F97" s="20" t="s">
        <v>927</v>
      </c>
      <c r="G97" s="114">
        <v>1</v>
      </c>
      <c r="H97" s="114">
        <v>1</v>
      </c>
      <c r="I97" s="114">
        <v>1</v>
      </c>
      <c r="J97" s="152">
        <v>1</v>
      </c>
      <c r="K97" s="162">
        <v>1</v>
      </c>
      <c r="L97" s="114">
        <v>1</v>
      </c>
      <c r="M97" s="152">
        <v>1</v>
      </c>
      <c r="N97" s="135">
        <v>1</v>
      </c>
      <c r="O97" s="114">
        <v>1</v>
      </c>
      <c r="P97" s="7">
        <v>2.33</v>
      </c>
      <c r="Q97" s="70">
        <f t="shared" ref="Q97:Q120" si="61">ROUND((P97*1.2*1.5+4)*10,0)/10</f>
        <v>8.1999999999999993</v>
      </c>
      <c r="R97" s="71">
        <f t="shared" ref="R97:R120" si="62">ROUND((P97*1.2*1.5+10)*10,0)/10</f>
        <v>14.2</v>
      </c>
      <c r="S97" s="70">
        <f>ROUND(R97/0.7*1.22,0)</f>
        <v>25</v>
      </c>
      <c r="T97" s="5" t="s">
        <v>1</v>
      </c>
      <c r="U97" s="73"/>
      <c r="V97" s="47"/>
      <c r="W97" s="46"/>
      <c r="X97" s="93"/>
      <c r="Z97" s="93"/>
      <c r="AA97" s="143"/>
      <c r="AB97" s="122">
        <v>5</v>
      </c>
      <c r="AC97" s="146">
        <v>5</v>
      </c>
      <c r="AD97" s="91"/>
      <c r="AE97" s="146"/>
    </row>
    <row r="98" spans="1:31" x14ac:dyDescent="0.3">
      <c r="A98" s="75" t="s">
        <v>1019</v>
      </c>
      <c r="B98" s="125" t="s">
        <v>952</v>
      </c>
      <c r="C98" s="86"/>
      <c r="D98" s="18" t="s">
        <v>662</v>
      </c>
      <c r="E98" s="19" t="s">
        <v>663</v>
      </c>
      <c r="F98" s="20" t="s">
        <v>535</v>
      </c>
      <c r="G98" s="114"/>
      <c r="H98" s="114"/>
      <c r="I98" s="114"/>
      <c r="J98" s="152"/>
      <c r="K98" s="162"/>
      <c r="L98" s="114"/>
      <c r="M98" s="152">
        <v>1</v>
      </c>
      <c r="N98" s="135"/>
      <c r="O98" s="114"/>
      <c r="P98" s="7">
        <v>9.9</v>
      </c>
      <c r="Q98" s="70">
        <f t="shared" si="61"/>
        <v>21.8</v>
      </c>
      <c r="R98" s="71">
        <f t="shared" si="62"/>
        <v>27.8</v>
      </c>
      <c r="S98" s="70">
        <f t="shared" si="48"/>
        <v>48</v>
      </c>
      <c r="T98" s="5" t="s">
        <v>136</v>
      </c>
      <c r="U98" s="113" t="s">
        <v>563</v>
      </c>
      <c r="V98" s="47"/>
      <c r="W98" s="46"/>
      <c r="X98" s="153"/>
      <c r="Y98" s="101"/>
      <c r="Z98" s="153"/>
      <c r="AA98" s="104"/>
      <c r="AB98" s="122">
        <v>8</v>
      </c>
      <c r="AC98" s="146">
        <v>8</v>
      </c>
      <c r="AD98" s="91"/>
      <c r="AE98" s="146"/>
    </row>
    <row r="99" spans="1:31" x14ac:dyDescent="0.3">
      <c r="A99" s="77" t="s">
        <v>929</v>
      </c>
      <c r="B99" s="24" t="s">
        <v>935</v>
      </c>
      <c r="C99" s="86"/>
      <c r="D99" s="18" t="s">
        <v>954</v>
      </c>
      <c r="E99" s="19" t="s">
        <v>404</v>
      </c>
      <c r="F99" s="20"/>
      <c r="G99" s="114"/>
      <c r="H99" s="114"/>
      <c r="I99" s="114"/>
      <c r="J99" s="152"/>
      <c r="K99" s="162"/>
      <c r="L99" s="114"/>
      <c r="M99" s="152">
        <v>1</v>
      </c>
      <c r="N99" s="135"/>
      <c r="O99" s="114"/>
      <c r="P99" s="7">
        <v>2.0299999999999998</v>
      </c>
      <c r="Q99" s="70">
        <f t="shared" si="61"/>
        <v>7.7</v>
      </c>
      <c r="R99" s="71">
        <f t="shared" si="62"/>
        <v>13.7</v>
      </c>
      <c r="S99" s="70">
        <f>ROUND(R99/0.7*1.22,0)</f>
        <v>24</v>
      </c>
      <c r="T99" s="5"/>
      <c r="U99" s="113"/>
      <c r="V99" s="47"/>
      <c r="W99" s="46"/>
      <c r="X99" s="153"/>
      <c r="Y99" s="101"/>
      <c r="Z99" s="153"/>
      <c r="AA99" s="104"/>
      <c r="AB99" s="91"/>
      <c r="AC99" s="146"/>
      <c r="AD99" s="91"/>
      <c r="AE99" s="146"/>
    </row>
    <row r="100" spans="1:31" x14ac:dyDescent="0.3">
      <c r="A100" s="77" t="s">
        <v>350</v>
      </c>
      <c r="B100" s="24" t="s">
        <v>573</v>
      </c>
      <c r="C100" s="86"/>
      <c r="D100" s="18" t="s">
        <v>403</v>
      </c>
      <c r="E100" s="19" t="s">
        <v>404</v>
      </c>
      <c r="F100" s="20"/>
      <c r="G100" s="114">
        <v>1</v>
      </c>
      <c r="H100" s="114">
        <v>1</v>
      </c>
      <c r="I100" s="114">
        <v>1</v>
      </c>
      <c r="J100" s="152">
        <v>1</v>
      </c>
      <c r="K100" s="162">
        <v>1</v>
      </c>
      <c r="L100" s="114">
        <v>1</v>
      </c>
      <c r="M100" s="152"/>
      <c r="N100" s="135">
        <v>1</v>
      </c>
      <c r="O100" s="114">
        <v>1</v>
      </c>
      <c r="P100" s="7">
        <v>1.23</v>
      </c>
      <c r="Q100" s="70">
        <f t="shared" si="61"/>
        <v>6.2</v>
      </c>
      <c r="R100" s="71">
        <f t="shared" si="62"/>
        <v>12.2</v>
      </c>
      <c r="S100" s="70">
        <f t="shared" si="5"/>
        <v>21</v>
      </c>
      <c r="T100" s="5"/>
      <c r="U100" s="73"/>
      <c r="V100" s="47"/>
      <c r="W100" s="46"/>
      <c r="X100" s="93"/>
      <c r="Z100" s="93"/>
      <c r="AA100" s="143"/>
      <c r="AB100" s="91"/>
      <c r="AC100" s="146"/>
      <c r="AD100" s="91"/>
      <c r="AE100" s="146"/>
    </row>
    <row r="101" spans="1:31" x14ac:dyDescent="0.3">
      <c r="A101" s="77" t="s">
        <v>352</v>
      </c>
      <c r="B101" s="24" t="s">
        <v>575</v>
      </c>
      <c r="C101" s="86"/>
      <c r="D101" s="18" t="s">
        <v>407</v>
      </c>
      <c r="E101" s="19" t="s">
        <v>408</v>
      </c>
      <c r="F101" s="20"/>
      <c r="G101" s="114">
        <v>1</v>
      </c>
      <c r="H101" s="114">
        <v>1</v>
      </c>
      <c r="I101" s="114">
        <v>1</v>
      </c>
      <c r="J101" s="152">
        <v>1</v>
      </c>
      <c r="K101" s="162">
        <v>1</v>
      </c>
      <c r="L101" s="114">
        <v>1</v>
      </c>
      <c r="M101" s="152"/>
      <c r="N101" s="135">
        <v>1</v>
      </c>
      <c r="O101" s="114">
        <v>1</v>
      </c>
      <c r="P101" s="7">
        <v>2.4</v>
      </c>
      <c r="Q101" s="70">
        <f t="shared" si="61"/>
        <v>8.3000000000000007</v>
      </c>
      <c r="R101" s="71">
        <f t="shared" si="62"/>
        <v>14.3</v>
      </c>
      <c r="S101" s="70">
        <f t="shared" ref="S101:S120" si="63">ROUND(R101/0.7*1.22,0)</f>
        <v>25</v>
      </c>
      <c r="T101" s="5"/>
      <c r="U101" s="73"/>
      <c r="V101" s="47"/>
      <c r="W101" s="46"/>
      <c r="X101" s="93"/>
      <c r="Z101" s="93"/>
      <c r="AA101" s="143"/>
      <c r="AB101" s="91"/>
      <c r="AC101" s="146"/>
      <c r="AD101" s="91"/>
      <c r="AE101" s="146"/>
    </row>
    <row r="102" spans="1:31" x14ac:dyDescent="0.3">
      <c r="A102" s="77" t="s">
        <v>353</v>
      </c>
      <c r="B102" s="24" t="s">
        <v>576</v>
      </c>
      <c r="C102" s="86"/>
      <c r="D102" s="18" t="s">
        <v>409</v>
      </c>
      <c r="E102" s="19" t="s">
        <v>410</v>
      </c>
      <c r="F102" s="20"/>
      <c r="G102" s="114">
        <v>1</v>
      </c>
      <c r="H102" s="114">
        <v>1</v>
      </c>
      <c r="I102" s="114">
        <v>1</v>
      </c>
      <c r="J102" s="152">
        <v>1</v>
      </c>
      <c r="K102" s="162">
        <v>1</v>
      </c>
      <c r="L102" s="114">
        <v>1</v>
      </c>
      <c r="M102" s="152"/>
      <c r="N102" s="135">
        <v>1</v>
      </c>
      <c r="O102" s="114">
        <v>1</v>
      </c>
      <c r="P102" s="7">
        <v>2.4</v>
      </c>
      <c r="Q102" s="70">
        <f t="shared" si="61"/>
        <v>8.3000000000000007</v>
      </c>
      <c r="R102" s="71">
        <f t="shared" si="62"/>
        <v>14.3</v>
      </c>
      <c r="S102" s="70">
        <f t="shared" si="63"/>
        <v>25</v>
      </c>
      <c r="T102" s="5"/>
      <c r="U102" s="73"/>
      <c r="V102" s="47"/>
      <c r="W102" s="46"/>
      <c r="X102" s="93"/>
      <c r="Z102" s="93"/>
      <c r="AA102" s="143"/>
      <c r="AB102" s="91"/>
      <c r="AC102" s="146"/>
      <c r="AD102" s="91"/>
      <c r="AE102" s="146"/>
    </row>
    <row r="103" spans="1:31" x14ac:dyDescent="0.3">
      <c r="A103" s="77" t="s">
        <v>354</v>
      </c>
      <c r="B103" s="24" t="s">
        <v>577</v>
      </c>
      <c r="C103" s="86"/>
      <c r="D103" s="18" t="s">
        <v>411</v>
      </c>
      <c r="E103" s="19" t="s">
        <v>412</v>
      </c>
      <c r="F103" s="20"/>
      <c r="G103" s="114">
        <v>1</v>
      </c>
      <c r="H103" s="114">
        <v>1</v>
      </c>
      <c r="I103" s="114">
        <v>1</v>
      </c>
      <c r="J103" s="152">
        <v>1</v>
      </c>
      <c r="K103" s="162">
        <v>1</v>
      </c>
      <c r="L103" s="114">
        <v>1</v>
      </c>
      <c r="M103" s="152">
        <v>1</v>
      </c>
      <c r="N103" s="135">
        <v>1</v>
      </c>
      <c r="O103" s="114">
        <v>1</v>
      </c>
      <c r="P103" s="7">
        <v>0.72</v>
      </c>
      <c r="Q103" s="70">
        <f t="shared" si="61"/>
        <v>5.3</v>
      </c>
      <c r="R103" s="71">
        <f t="shared" si="62"/>
        <v>11.3</v>
      </c>
      <c r="S103" s="70">
        <f t="shared" si="63"/>
        <v>20</v>
      </c>
      <c r="T103" s="5"/>
      <c r="U103" s="73"/>
      <c r="V103" s="47"/>
      <c r="W103" s="46"/>
      <c r="X103" s="93"/>
      <c r="Z103" s="93"/>
      <c r="AA103" s="143"/>
      <c r="AB103" s="91"/>
      <c r="AC103" s="146"/>
      <c r="AD103" s="91"/>
      <c r="AE103" s="146"/>
    </row>
    <row r="104" spans="1:31" x14ac:dyDescent="0.3">
      <c r="A104" s="77" t="s">
        <v>355</v>
      </c>
      <c r="B104" s="24" t="s">
        <v>578</v>
      </c>
      <c r="C104" s="86"/>
      <c r="D104" s="18" t="s">
        <v>413</v>
      </c>
      <c r="E104" s="19" t="s">
        <v>414</v>
      </c>
      <c r="F104" s="20"/>
      <c r="G104" s="114">
        <v>1</v>
      </c>
      <c r="H104" s="114">
        <v>1</v>
      </c>
      <c r="I104" s="114">
        <v>1</v>
      </c>
      <c r="J104" s="152">
        <v>1</v>
      </c>
      <c r="K104" s="162">
        <v>1</v>
      </c>
      <c r="L104" s="114">
        <v>1</v>
      </c>
      <c r="M104" s="152">
        <v>1</v>
      </c>
      <c r="N104" s="135">
        <v>1</v>
      </c>
      <c r="O104" s="114">
        <v>1</v>
      </c>
      <c r="P104" s="7">
        <v>4.43</v>
      </c>
      <c r="Q104" s="70">
        <f t="shared" si="61"/>
        <v>12</v>
      </c>
      <c r="R104" s="71">
        <f t="shared" si="62"/>
        <v>18</v>
      </c>
      <c r="S104" s="70">
        <f t="shared" si="63"/>
        <v>31</v>
      </c>
      <c r="T104" s="5"/>
      <c r="U104" s="73"/>
      <c r="V104" s="47"/>
      <c r="W104" s="46"/>
      <c r="X104" s="93"/>
      <c r="Z104" s="93"/>
      <c r="AA104" s="143"/>
      <c r="AB104" s="91"/>
      <c r="AC104" s="146"/>
      <c r="AD104" s="91"/>
      <c r="AE104" s="146"/>
    </row>
    <row r="105" spans="1:31" x14ac:dyDescent="0.3">
      <c r="A105" s="77" t="s">
        <v>357</v>
      </c>
      <c r="B105" s="24" t="s">
        <v>580</v>
      </c>
      <c r="C105" s="86"/>
      <c r="D105" s="18" t="s">
        <v>417</v>
      </c>
      <c r="E105" s="19" t="s">
        <v>418</v>
      </c>
      <c r="F105" s="20"/>
      <c r="G105" s="114">
        <v>1</v>
      </c>
      <c r="H105" s="114">
        <v>1</v>
      </c>
      <c r="I105" s="114">
        <v>1</v>
      </c>
      <c r="J105" s="152">
        <v>1</v>
      </c>
      <c r="K105" s="162">
        <v>1</v>
      </c>
      <c r="L105" s="114">
        <v>1</v>
      </c>
      <c r="M105" s="152">
        <v>1</v>
      </c>
      <c r="N105" s="135">
        <v>1</v>
      </c>
      <c r="O105" s="114">
        <v>1</v>
      </c>
      <c r="P105" s="7">
        <v>0.9</v>
      </c>
      <c r="Q105" s="70">
        <f t="shared" si="61"/>
        <v>5.6</v>
      </c>
      <c r="R105" s="71">
        <f t="shared" si="62"/>
        <v>11.6</v>
      </c>
      <c r="S105" s="70">
        <f t="shared" si="63"/>
        <v>20</v>
      </c>
      <c r="T105" s="5"/>
      <c r="U105" s="73"/>
      <c r="V105" s="47"/>
      <c r="W105" s="46"/>
      <c r="X105" s="93"/>
      <c r="Z105" s="93"/>
      <c r="AA105" s="143"/>
      <c r="AB105" s="91"/>
      <c r="AC105" s="146"/>
      <c r="AD105" s="91"/>
      <c r="AE105" s="146"/>
    </row>
    <row r="106" spans="1:31" x14ac:dyDescent="0.3">
      <c r="A106" s="77" t="s">
        <v>361</v>
      </c>
      <c r="B106" s="24" t="s">
        <v>584</v>
      </c>
      <c r="C106" s="86"/>
      <c r="D106" s="18" t="s">
        <v>425</v>
      </c>
      <c r="E106" s="19" t="s">
        <v>426</v>
      </c>
      <c r="F106" s="20"/>
      <c r="G106" s="114">
        <v>1</v>
      </c>
      <c r="H106" s="114">
        <v>1</v>
      </c>
      <c r="I106" s="114">
        <v>1</v>
      </c>
      <c r="J106" s="152">
        <v>1</v>
      </c>
      <c r="K106" s="162">
        <v>1</v>
      </c>
      <c r="L106" s="114">
        <v>1</v>
      </c>
      <c r="M106" s="152">
        <v>1</v>
      </c>
      <c r="N106" s="135">
        <v>1</v>
      </c>
      <c r="O106" s="114">
        <v>1</v>
      </c>
      <c r="P106" s="7">
        <v>0.18</v>
      </c>
      <c r="Q106" s="70">
        <f t="shared" si="61"/>
        <v>4.3</v>
      </c>
      <c r="R106" s="71">
        <f t="shared" si="62"/>
        <v>10.3</v>
      </c>
      <c r="S106" s="70">
        <f t="shared" si="63"/>
        <v>18</v>
      </c>
      <c r="T106" s="5"/>
      <c r="U106" s="73"/>
      <c r="V106" s="47"/>
      <c r="W106" s="46"/>
      <c r="X106" s="93"/>
      <c r="Z106" s="93"/>
      <c r="AA106" s="143"/>
      <c r="AB106" s="91"/>
      <c r="AC106" s="146"/>
      <c r="AD106" s="91"/>
      <c r="AE106" s="146"/>
    </row>
    <row r="107" spans="1:31" x14ac:dyDescent="0.3">
      <c r="A107" s="77" t="s">
        <v>362</v>
      </c>
      <c r="B107" s="24" t="s">
        <v>585</v>
      </c>
      <c r="C107" s="86"/>
      <c r="D107" s="18" t="s">
        <v>427</v>
      </c>
      <c r="E107" s="19" t="s">
        <v>428</v>
      </c>
      <c r="F107" s="20"/>
      <c r="G107" s="114">
        <v>1</v>
      </c>
      <c r="H107" s="114">
        <v>1</v>
      </c>
      <c r="I107" s="114">
        <v>1</v>
      </c>
      <c r="J107" s="152">
        <v>1</v>
      </c>
      <c r="K107" s="162">
        <v>1</v>
      </c>
      <c r="L107" s="114">
        <v>1</v>
      </c>
      <c r="M107" s="152">
        <v>1</v>
      </c>
      <c r="N107" s="135">
        <v>1</v>
      </c>
      <c r="O107" s="114">
        <v>1</v>
      </c>
      <c r="P107" s="7">
        <v>2.4</v>
      </c>
      <c r="Q107" s="70">
        <f t="shared" si="61"/>
        <v>8.3000000000000007</v>
      </c>
      <c r="R107" s="71">
        <f t="shared" si="62"/>
        <v>14.3</v>
      </c>
      <c r="S107" s="70">
        <f t="shared" si="63"/>
        <v>25</v>
      </c>
      <c r="T107" s="5"/>
      <c r="U107" s="73"/>
      <c r="V107" s="47"/>
      <c r="W107" s="46"/>
      <c r="X107" s="93"/>
      <c r="Z107" s="93"/>
      <c r="AA107" s="143"/>
      <c r="AB107" s="91"/>
      <c r="AC107" s="146"/>
      <c r="AD107" s="91"/>
      <c r="AE107" s="146"/>
    </row>
    <row r="108" spans="1:31" x14ac:dyDescent="0.3">
      <c r="A108" s="77" t="s">
        <v>363</v>
      </c>
      <c r="B108" s="24" t="s">
        <v>586</v>
      </c>
      <c r="C108" s="86"/>
      <c r="D108" s="18" t="s">
        <v>429</v>
      </c>
      <c r="E108" s="19" t="s">
        <v>430</v>
      </c>
      <c r="F108" s="20"/>
      <c r="G108" s="114">
        <v>1</v>
      </c>
      <c r="H108" s="114">
        <v>1</v>
      </c>
      <c r="I108" s="114">
        <v>1</v>
      </c>
      <c r="J108" s="152">
        <v>1</v>
      </c>
      <c r="K108" s="162">
        <v>1</v>
      </c>
      <c r="L108" s="114">
        <v>1</v>
      </c>
      <c r="M108" s="152">
        <v>1</v>
      </c>
      <c r="N108" s="135">
        <v>1</v>
      </c>
      <c r="O108" s="114">
        <v>1</v>
      </c>
      <c r="P108" s="7">
        <v>2.48</v>
      </c>
      <c r="Q108" s="70">
        <f t="shared" si="61"/>
        <v>8.5</v>
      </c>
      <c r="R108" s="71">
        <f t="shared" si="62"/>
        <v>14.5</v>
      </c>
      <c r="S108" s="70">
        <f t="shared" si="63"/>
        <v>25</v>
      </c>
      <c r="T108" s="5"/>
      <c r="U108" s="73"/>
      <c r="V108" s="47"/>
      <c r="W108" s="46"/>
      <c r="X108" s="93"/>
      <c r="Z108" s="93"/>
      <c r="AA108" s="143"/>
      <c r="AB108" s="91"/>
      <c r="AC108" s="146"/>
      <c r="AD108" s="91"/>
      <c r="AE108" s="146"/>
    </row>
    <row r="109" spans="1:31" x14ac:dyDescent="0.3">
      <c r="A109" s="77" t="s">
        <v>364</v>
      </c>
      <c r="B109" s="24" t="s">
        <v>587</v>
      </c>
      <c r="C109" s="86"/>
      <c r="D109" s="18" t="s">
        <v>431</v>
      </c>
      <c r="E109" s="19" t="s">
        <v>432</v>
      </c>
      <c r="F109" s="20"/>
      <c r="G109" s="114">
        <v>1</v>
      </c>
      <c r="H109" s="114">
        <v>1</v>
      </c>
      <c r="I109" s="114">
        <v>1</v>
      </c>
      <c r="J109" s="152">
        <v>1</v>
      </c>
      <c r="K109" s="162">
        <v>1</v>
      </c>
      <c r="L109" s="114">
        <v>1</v>
      </c>
      <c r="M109" s="152">
        <v>1</v>
      </c>
      <c r="N109" s="135">
        <v>1</v>
      </c>
      <c r="O109" s="114">
        <v>1</v>
      </c>
      <c r="P109" s="7">
        <v>2.31</v>
      </c>
      <c r="Q109" s="70">
        <f t="shared" si="61"/>
        <v>8.1999999999999993</v>
      </c>
      <c r="R109" s="71">
        <f t="shared" si="62"/>
        <v>14.2</v>
      </c>
      <c r="S109" s="70">
        <f t="shared" si="63"/>
        <v>25</v>
      </c>
      <c r="T109" s="5"/>
      <c r="U109" s="73"/>
      <c r="V109" s="47"/>
      <c r="W109" s="46"/>
      <c r="X109" s="93"/>
      <c r="Z109" s="93"/>
      <c r="AA109" s="143"/>
      <c r="AB109" s="91"/>
      <c r="AC109" s="146"/>
      <c r="AD109" s="91"/>
      <c r="AE109" s="146"/>
    </row>
    <row r="110" spans="1:31" x14ac:dyDescent="0.3">
      <c r="A110" s="77" t="s">
        <v>365</v>
      </c>
      <c r="B110" s="24" t="s">
        <v>588</v>
      </c>
      <c r="C110" s="86"/>
      <c r="D110" s="18" t="s">
        <v>433</v>
      </c>
      <c r="E110" s="19" t="s">
        <v>434</v>
      </c>
      <c r="F110" s="20"/>
      <c r="G110" s="114">
        <v>1</v>
      </c>
      <c r="H110" s="114">
        <v>1</v>
      </c>
      <c r="I110" s="114">
        <v>1</v>
      </c>
      <c r="J110" s="152">
        <v>1</v>
      </c>
      <c r="K110" s="162">
        <v>1</v>
      </c>
      <c r="L110" s="114">
        <v>1</v>
      </c>
      <c r="M110" s="152">
        <v>1</v>
      </c>
      <c r="N110" s="135">
        <v>1</v>
      </c>
      <c r="O110" s="114">
        <v>1</v>
      </c>
      <c r="P110" s="7">
        <v>0.3</v>
      </c>
      <c r="Q110" s="70">
        <f t="shared" si="61"/>
        <v>4.5</v>
      </c>
      <c r="R110" s="71">
        <f t="shared" si="62"/>
        <v>10.5</v>
      </c>
      <c r="S110" s="70">
        <f t="shared" si="63"/>
        <v>18</v>
      </c>
      <c r="T110" s="5"/>
      <c r="U110" s="73"/>
      <c r="V110" s="47"/>
      <c r="W110" s="46"/>
      <c r="X110" s="93"/>
      <c r="Z110" s="93"/>
      <c r="AA110" s="143"/>
      <c r="AB110" s="91"/>
      <c r="AC110" s="146"/>
      <c r="AD110" s="91"/>
      <c r="AE110" s="146"/>
    </row>
    <row r="111" spans="1:31" x14ac:dyDescent="0.3">
      <c r="A111" s="77" t="s">
        <v>366</v>
      </c>
      <c r="B111" s="24" t="s">
        <v>589</v>
      </c>
      <c r="C111" s="86"/>
      <c r="D111" s="18" t="s">
        <v>435</v>
      </c>
      <c r="E111" s="19" t="s">
        <v>436</v>
      </c>
      <c r="F111" s="20"/>
      <c r="G111" s="114">
        <v>1</v>
      </c>
      <c r="H111" s="114">
        <v>1</v>
      </c>
      <c r="I111" s="114">
        <v>1</v>
      </c>
      <c r="J111" s="152">
        <v>1</v>
      </c>
      <c r="K111" s="162">
        <v>1</v>
      </c>
      <c r="L111" s="114">
        <v>1</v>
      </c>
      <c r="M111" s="152">
        <v>1</v>
      </c>
      <c r="N111" s="135">
        <v>1</v>
      </c>
      <c r="O111" s="114">
        <v>1</v>
      </c>
      <c r="P111" s="7">
        <v>0.3</v>
      </c>
      <c r="Q111" s="70">
        <f t="shared" si="61"/>
        <v>4.5</v>
      </c>
      <c r="R111" s="71">
        <f t="shared" si="62"/>
        <v>10.5</v>
      </c>
      <c r="S111" s="70">
        <f t="shared" si="63"/>
        <v>18</v>
      </c>
      <c r="T111" s="5"/>
      <c r="U111" s="73"/>
      <c r="V111" s="47"/>
      <c r="W111" s="46"/>
      <c r="X111" s="93"/>
      <c r="Z111" s="93"/>
      <c r="AA111" s="143"/>
      <c r="AB111" s="91"/>
      <c r="AC111" s="146"/>
      <c r="AD111" s="91"/>
      <c r="AE111" s="146"/>
    </row>
    <row r="112" spans="1:31" x14ac:dyDescent="0.3">
      <c r="A112" s="77" t="s">
        <v>371</v>
      </c>
      <c r="B112" s="24" t="s">
        <v>592</v>
      </c>
      <c r="C112" s="86"/>
      <c r="D112" s="18" t="s">
        <v>445</v>
      </c>
      <c r="E112" s="19" t="s">
        <v>446</v>
      </c>
      <c r="F112" s="20"/>
      <c r="G112" s="114">
        <v>1</v>
      </c>
      <c r="H112" s="114">
        <v>1</v>
      </c>
      <c r="I112" s="114">
        <v>1</v>
      </c>
      <c r="J112" s="152">
        <v>1</v>
      </c>
      <c r="K112" s="162"/>
      <c r="L112" s="114">
        <v>1</v>
      </c>
      <c r="M112" s="152"/>
      <c r="N112" s="135">
        <v>1</v>
      </c>
      <c r="O112" s="114">
        <v>1</v>
      </c>
      <c r="P112" s="7">
        <v>14.67</v>
      </c>
      <c r="Q112" s="70">
        <f t="shared" si="61"/>
        <v>30.4</v>
      </c>
      <c r="R112" s="71">
        <f t="shared" si="62"/>
        <v>36.4</v>
      </c>
      <c r="S112" s="70">
        <f t="shared" si="63"/>
        <v>63</v>
      </c>
      <c r="T112" s="5"/>
      <c r="U112" s="73"/>
      <c r="V112" s="47"/>
      <c r="W112" s="46"/>
      <c r="X112" s="93"/>
      <c r="Z112" s="93"/>
      <c r="AA112" s="143"/>
      <c r="AB112" s="91"/>
      <c r="AC112" s="146"/>
      <c r="AD112" s="91"/>
      <c r="AE112" s="146"/>
    </row>
    <row r="113" spans="1:31" x14ac:dyDescent="0.3">
      <c r="A113" s="77" t="s">
        <v>372</v>
      </c>
      <c r="B113" s="24" t="s">
        <v>593</v>
      </c>
      <c r="C113" s="86"/>
      <c r="D113" s="18" t="s">
        <v>447</v>
      </c>
      <c r="E113" s="19" t="s">
        <v>448</v>
      </c>
      <c r="F113" s="20"/>
      <c r="G113" s="114">
        <v>1</v>
      </c>
      <c r="H113" s="114">
        <v>1</v>
      </c>
      <c r="I113" s="114">
        <v>1</v>
      </c>
      <c r="J113" s="152">
        <v>1</v>
      </c>
      <c r="K113" s="162">
        <v>1</v>
      </c>
      <c r="L113" s="114"/>
      <c r="M113" s="152"/>
      <c r="N113" s="135">
        <v>1</v>
      </c>
      <c r="O113" s="114">
        <v>1</v>
      </c>
      <c r="P113" s="7">
        <v>5.13</v>
      </c>
      <c r="Q113" s="70">
        <f t="shared" si="61"/>
        <v>13.2</v>
      </c>
      <c r="R113" s="71">
        <f t="shared" si="62"/>
        <v>19.2</v>
      </c>
      <c r="S113" s="70">
        <f t="shared" si="63"/>
        <v>33</v>
      </c>
      <c r="T113" s="5"/>
      <c r="U113" s="73"/>
      <c r="V113" s="47"/>
      <c r="W113" s="46"/>
      <c r="X113" s="93"/>
      <c r="Z113" s="93"/>
      <c r="AA113" s="143"/>
      <c r="AB113" s="91"/>
      <c r="AC113" s="146"/>
      <c r="AD113" s="91"/>
      <c r="AE113" s="146"/>
    </row>
    <row r="114" spans="1:31" x14ac:dyDescent="0.3">
      <c r="A114" s="77" t="s">
        <v>381</v>
      </c>
      <c r="B114" s="24" t="s">
        <v>602</v>
      </c>
      <c r="C114" s="86"/>
      <c r="D114" s="18" t="s">
        <v>465</v>
      </c>
      <c r="E114" s="19" t="s">
        <v>466</v>
      </c>
      <c r="F114" s="20"/>
      <c r="G114" s="114">
        <v>1</v>
      </c>
      <c r="H114" s="114">
        <v>1</v>
      </c>
      <c r="I114" s="114">
        <v>1</v>
      </c>
      <c r="J114" s="152">
        <v>1</v>
      </c>
      <c r="K114" s="162">
        <v>1</v>
      </c>
      <c r="L114" s="114">
        <v>1</v>
      </c>
      <c r="M114" s="152"/>
      <c r="N114" s="135">
        <v>1</v>
      </c>
      <c r="O114" s="114">
        <v>1</v>
      </c>
      <c r="P114" s="7">
        <v>1.59</v>
      </c>
      <c r="Q114" s="70">
        <f t="shared" si="61"/>
        <v>6.9</v>
      </c>
      <c r="R114" s="71">
        <f t="shared" si="62"/>
        <v>12.9</v>
      </c>
      <c r="S114" s="70">
        <f t="shared" si="63"/>
        <v>22</v>
      </c>
      <c r="T114" s="5"/>
      <c r="U114" s="73"/>
      <c r="V114" s="47"/>
      <c r="W114" s="46"/>
      <c r="X114" s="93"/>
      <c r="Z114" s="93"/>
      <c r="AA114" s="143"/>
      <c r="AB114" s="91"/>
      <c r="AC114" s="146"/>
      <c r="AD114" s="91"/>
      <c r="AE114" s="146"/>
    </row>
    <row r="115" spans="1:31" x14ac:dyDescent="0.3">
      <c r="A115" s="77" t="s">
        <v>382</v>
      </c>
      <c r="B115" s="24" t="s">
        <v>603</v>
      </c>
      <c r="C115" s="86"/>
      <c r="D115" s="18" t="s">
        <v>467</v>
      </c>
      <c r="E115" s="19" t="s">
        <v>468</v>
      </c>
      <c r="F115" s="20"/>
      <c r="G115" s="114">
        <v>1</v>
      </c>
      <c r="H115" s="114">
        <v>1</v>
      </c>
      <c r="I115" s="114">
        <v>1</v>
      </c>
      <c r="J115" s="152">
        <v>1</v>
      </c>
      <c r="K115" s="162"/>
      <c r="L115" s="114">
        <v>1</v>
      </c>
      <c r="M115" s="152"/>
      <c r="N115" s="135">
        <v>1</v>
      </c>
      <c r="O115" s="114">
        <v>1</v>
      </c>
      <c r="P115" s="7">
        <v>1.02</v>
      </c>
      <c r="Q115" s="70">
        <f t="shared" si="61"/>
        <v>5.8</v>
      </c>
      <c r="R115" s="71">
        <f t="shared" si="62"/>
        <v>11.8</v>
      </c>
      <c r="S115" s="70">
        <f t="shared" si="63"/>
        <v>21</v>
      </c>
      <c r="T115" s="5"/>
      <c r="U115" s="73"/>
      <c r="V115" s="47"/>
      <c r="W115" s="46"/>
      <c r="X115" s="93"/>
      <c r="Z115" s="93"/>
      <c r="AA115" s="143"/>
      <c r="AB115" s="91"/>
      <c r="AC115" s="146"/>
      <c r="AD115" s="91"/>
      <c r="AE115" s="146"/>
    </row>
    <row r="116" spans="1:31" x14ac:dyDescent="0.3">
      <c r="A116" s="77" t="s">
        <v>383</v>
      </c>
      <c r="B116" s="24" t="s">
        <v>604</v>
      </c>
      <c r="C116" s="86"/>
      <c r="D116" s="18" t="s">
        <v>469</v>
      </c>
      <c r="E116" s="19" t="s">
        <v>470</v>
      </c>
      <c r="F116" s="20"/>
      <c r="G116" s="114">
        <v>1</v>
      </c>
      <c r="H116" s="114">
        <v>1</v>
      </c>
      <c r="I116" s="114">
        <v>1</v>
      </c>
      <c r="J116" s="152">
        <v>1</v>
      </c>
      <c r="K116" s="162">
        <v>1</v>
      </c>
      <c r="L116" s="114">
        <v>1</v>
      </c>
      <c r="M116" s="152"/>
      <c r="N116" s="135">
        <v>1</v>
      </c>
      <c r="O116" s="114">
        <v>1</v>
      </c>
      <c r="P116" s="7">
        <v>0.21</v>
      </c>
      <c r="Q116" s="70">
        <f t="shared" si="61"/>
        <v>4.4000000000000004</v>
      </c>
      <c r="R116" s="71">
        <f t="shared" si="62"/>
        <v>10.4</v>
      </c>
      <c r="S116" s="70">
        <f t="shared" si="63"/>
        <v>18</v>
      </c>
      <c r="T116" s="5"/>
      <c r="U116" s="73"/>
      <c r="V116" s="47"/>
      <c r="W116" s="46"/>
      <c r="X116" s="93"/>
      <c r="Z116" s="93"/>
      <c r="AA116" s="143"/>
      <c r="AB116" s="91"/>
      <c r="AC116" s="146"/>
      <c r="AD116" s="91"/>
      <c r="AE116" s="146"/>
    </row>
    <row r="117" spans="1:31" x14ac:dyDescent="0.3">
      <c r="A117" s="77" t="s">
        <v>385</v>
      </c>
      <c r="B117" s="24" t="s">
        <v>605</v>
      </c>
      <c r="C117" s="86"/>
      <c r="D117" s="18" t="s">
        <v>473</v>
      </c>
      <c r="E117" s="19" t="s">
        <v>474</v>
      </c>
      <c r="F117" s="20"/>
      <c r="G117" s="6">
        <v>2</v>
      </c>
      <c r="H117" s="6">
        <v>2</v>
      </c>
      <c r="I117" s="6">
        <v>2</v>
      </c>
      <c r="J117" s="45">
        <v>2</v>
      </c>
      <c r="K117" s="162"/>
      <c r="L117" s="114">
        <v>2</v>
      </c>
      <c r="M117" s="152">
        <v>2</v>
      </c>
      <c r="N117" s="137"/>
      <c r="O117" s="6"/>
      <c r="P117" s="7">
        <v>0.12</v>
      </c>
      <c r="Q117" s="70">
        <f t="shared" si="61"/>
        <v>4.2</v>
      </c>
      <c r="R117" s="71">
        <f t="shared" si="62"/>
        <v>10.199999999999999</v>
      </c>
      <c r="S117" s="70">
        <f t="shared" si="63"/>
        <v>18</v>
      </c>
      <c r="T117" s="5"/>
      <c r="U117" s="73"/>
      <c r="V117" s="47"/>
      <c r="W117" s="46"/>
      <c r="X117" s="93"/>
      <c r="Z117" s="93"/>
      <c r="AA117" s="143"/>
      <c r="AB117" s="91"/>
      <c r="AC117" s="146"/>
      <c r="AD117" s="91"/>
      <c r="AE117" s="146"/>
    </row>
    <row r="118" spans="1:31" x14ac:dyDescent="0.3">
      <c r="A118" s="77" t="s">
        <v>394</v>
      </c>
      <c r="B118" s="24" t="s">
        <v>613</v>
      </c>
      <c r="C118" s="86"/>
      <c r="D118" s="18" t="s">
        <v>491</v>
      </c>
      <c r="E118" s="19" t="s">
        <v>492</v>
      </c>
      <c r="F118" s="20"/>
      <c r="G118" s="6">
        <v>4</v>
      </c>
      <c r="H118" s="6">
        <v>4</v>
      </c>
      <c r="I118" s="6">
        <v>4</v>
      </c>
      <c r="J118" s="45">
        <v>4</v>
      </c>
      <c r="K118" s="162">
        <v>4</v>
      </c>
      <c r="L118" s="114">
        <v>4</v>
      </c>
      <c r="M118" s="152">
        <v>4</v>
      </c>
      <c r="N118" s="137">
        <v>4</v>
      </c>
      <c r="O118" s="6">
        <v>4</v>
      </c>
      <c r="P118" s="7">
        <v>0.02</v>
      </c>
      <c r="Q118" s="70">
        <f t="shared" si="61"/>
        <v>4</v>
      </c>
      <c r="R118" s="71">
        <f t="shared" si="62"/>
        <v>10</v>
      </c>
      <c r="S118" s="70">
        <f t="shared" si="63"/>
        <v>17</v>
      </c>
      <c r="T118" s="5"/>
      <c r="U118" s="73"/>
      <c r="V118" s="47"/>
      <c r="W118" s="46"/>
      <c r="X118" s="93"/>
      <c r="Z118" s="93"/>
      <c r="AA118" s="143"/>
      <c r="AB118" s="91"/>
      <c r="AC118" s="146"/>
      <c r="AD118" s="91"/>
      <c r="AE118" s="146"/>
    </row>
    <row r="119" spans="1:31" x14ac:dyDescent="0.3">
      <c r="A119" s="77" t="s">
        <v>395</v>
      </c>
      <c r="B119" s="24" t="s">
        <v>511</v>
      </c>
      <c r="C119" s="86"/>
      <c r="D119" s="18" t="s">
        <v>493</v>
      </c>
      <c r="E119" s="19" t="s">
        <v>494</v>
      </c>
      <c r="F119" s="20"/>
      <c r="G119" s="6">
        <v>1</v>
      </c>
      <c r="H119" s="6"/>
      <c r="I119" s="6"/>
      <c r="J119" s="45"/>
      <c r="K119" s="162"/>
      <c r="L119" s="114"/>
      <c r="M119" s="152"/>
      <c r="N119" s="137"/>
      <c r="O119" s="6"/>
      <c r="P119" s="7">
        <v>10.66</v>
      </c>
      <c r="Q119" s="70">
        <f t="shared" si="61"/>
        <v>23.2</v>
      </c>
      <c r="R119" s="71">
        <f t="shared" si="62"/>
        <v>29.2</v>
      </c>
      <c r="S119" s="70">
        <f t="shared" si="63"/>
        <v>51</v>
      </c>
      <c r="T119" s="5"/>
      <c r="U119" s="73"/>
      <c r="V119" s="47"/>
      <c r="W119" s="46"/>
      <c r="X119" s="93"/>
      <c r="Z119" s="93"/>
      <c r="AA119" s="143"/>
      <c r="AB119" s="91"/>
      <c r="AC119" s="146"/>
      <c r="AD119" s="91"/>
      <c r="AE119" s="146"/>
    </row>
    <row r="120" spans="1:31" x14ac:dyDescent="0.3">
      <c r="A120" s="77" t="s">
        <v>396</v>
      </c>
      <c r="B120" s="24" t="s">
        <v>614</v>
      </c>
      <c r="C120" s="86"/>
      <c r="D120" s="18" t="s">
        <v>495</v>
      </c>
      <c r="E120" s="19" t="s">
        <v>496</v>
      </c>
      <c r="F120" s="20"/>
      <c r="G120" s="6">
        <v>1</v>
      </c>
      <c r="H120" s="6"/>
      <c r="I120" s="6"/>
      <c r="J120" s="45"/>
      <c r="K120" s="162">
        <v>1</v>
      </c>
      <c r="L120" s="114"/>
      <c r="M120" s="152"/>
      <c r="N120" s="137"/>
      <c r="O120" s="6"/>
      <c r="P120" s="7">
        <v>1.17</v>
      </c>
      <c r="Q120" s="70">
        <f t="shared" si="61"/>
        <v>6.1</v>
      </c>
      <c r="R120" s="71">
        <f t="shared" si="62"/>
        <v>12.1</v>
      </c>
      <c r="S120" s="70">
        <f t="shared" si="63"/>
        <v>21</v>
      </c>
      <c r="T120" s="5"/>
      <c r="U120" s="73"/>
      <c r="V120" s="47"/>
      <c r="W120" s="46"/>
      <c r="X120" s="93"/>
      <c r="Z120" s="93"/>
      <c r="AA120" s="143"/>
      <c r="AB120" s="91"/>
      <c r="AC120" s="146"/>
      <c r="AD120" s="91"/>
      <c r="AE120" s="146"/>
    </row>
  </sheetData>
  <autoFilter ref="A3:AE120" xr:uid="{00000000-0001-0000-0200-000000000000}"/>
  <sortState xmlns:xlrd2="http://schemas.microsoft.com/office/spreadsheetml/2017/richdata2" ref="A3:W119">
    <sortCondition ref="T3:T119"/>
  </sortState>
  <mergeCells count="1">
    <mergeCell ref="L2:M2"/>
  </mergeCells>
  <conditionalFormatting sqref="X3:X12 X20:X43 Z20:Z43 X61:X99 Z61:Z99">
    <cfRule type="cellIs" dxfId="4" priority="20" operator="equal">
      <formula>0</formula>
    </cfRule>
  </conditionalFormatting>
  <conditionalFormatting sqref="X14">
    <cfRule type="cellIs" dxfId="3" priority="19" operator="equal">
      <formula>0</formula>
    </cfRule>
  </conditionalFormatting>
  <conditionalFormatting sqref="Z3:Z12">
    <cfRule type="cellIs" dxfId="2" priority="9" operator="equal">
      <formula>0</formula>
    </cfRule>
  </conditionalFormatting>
  <conditionalFormatting sqref="Z14">
    <cfRule type="cellIs" dxfId="1" priority="11" operator="equal">
      <formula>0</formula>
    </cfRule>
  </conditionalFormatting>
  <conditionalFormatting sqref="AB3:AE120">
    <cfRule type="cellIs" dxfId="0" priority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Anagrafica PI</vt:lpstr>
      <vt:lpstr>Anagrafica GS</vt:lpstr>
      <vt:lpstr>Anagrafica BI oven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2025-06-17T11:02:09Z</dcterms:modified>
</cp:coreProperties>
</file>