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MIDEA\"/>
    </mc:Choice>
  </mc:AlternateContent>
  <xr:revisionPtr revIDLastSave="0" documentId="13_ncr:1_{255C0C53-4C9F-48AD-8353-3178C7C785FA}" xr6:coauthVersionLast="47" xr6:coauthVersionMax="47" xr10:uidLastSave="{00000000-0000-0000-0000-000000000000}"/>
  <bookViews>
    <workbookView xWindow="28680" yWindow="-120" windowWidth="29040" windowHeight="17520" tabRatio="607" xr2:uid="{00000000-000D-0000-FFFF-FFFF00000000}"/>
  </bookViews>
  <sheets>
    <sheet name="Anagrafica codici" sheetId="9" r:id="rId1"/>
    <sheet name="STAT" sheetId="10" r:id="rId2"/>
  </sheets>
  <definedNames>
    <definedName name="_xlnm._FilterDatabase" localSheetId="0" hidden="1">'Anagrafica codici'!$A$2:$CS$182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78" i="9" l="1"/>
  <c r="CS1" i="9" l="1"/>
  <c r="CR1" i="9" l="1"/>
  <c r="CQ1" i="9"/>
  <c r="CM1" i="9" l="1"/>
  <c r="CL1" i="9"/>
  <c r="CP1" i="9"/>
  <c r="CO1" i="9"/>
  <c r="BN61" i="9"/>
  <c r="BO61" i="9" s="1"/>
  <c r="BM61" i="9"/>
  <c r="BN60" i="9"/>
  <c r="BO60" i="9" s="1"/>
  <c r="BM60" i="9"/>
  <c r="BN36" i="9"/>
  <c r="BO36" i="9" s="1"/>
  <c r="BM36" i="9"/>
  <c r="CN1" i="9"/>
  <c r="CJ1" i="9"/>
  <c r="CK1" i="9"/>
  <c r="CI1" i="9"/>
  <c r="BM97" i="9"/>
  <c r="BN97" i="9"/>
  <c r="BO97" i="9" s="1"/>
  <c r="BN42" i="9"/>
  <c r="BO42" i="9" s="1"/>
  <c r="BM42" i="9"/>
  <c r="BN41" i="9"/>
  <c r="BO41" i="9" s="1"/>
  <c r="BM41" i="9"/>
  <c r="BM72" i="9"/>
  <c r="BN72" i="9"/>
  <c r="BO72" i="9" s="1"/>
  <c r="BM40" i="9"/>
  <c r="BN40" i="9"/>
  <c r="BO40" i="9" s="1"/>
  <c r="BN141" i="9"/>
  <c r="BO141" i="9" s="1"/>
  <c r="BM141" i="9"/>
  <c r="CH1" i="9"/>
  <c r="BN62" i="9"/>
  <c r="BO62" i="9" s="1"/>
  <c r="BM62" i="9"/>
  <c r="BN98" i="9"/>
  <c r="BO98" i="9" s="1"/>
  <c r="BM98" i="9"/>
  <c r="BN96" i="9"/>
  <c r="BO96" i="9" s="1"/>
  <c r="BM96" i="9"/>
  <c r="BN88" i="9"/>
  <c r="BO88" i="9" s="1"/>
  <c r="BM88" i="9"/>
  <c r="BN70" i="9"/>
  <c r="BO70" i="9" s="1"/>
  <c r="BM70" i="9"/>
  <c r="BN39" i="9"/>
  <c r="BO39" i="9" s="1"/>
  <c r="BM39" i="9"/>
  <c r="BN181" i="9"/>
  <c r="BO181" i="9" s="1"/>
  <c r="BM181" i="9"/>
  <c r="BN180" i="9"/>
  <c r="BO180" i="9" s="1"/>
  <c r="BM180" i="9"/>
  <c r="BN179" i="9"/>
  <c r="BO179" i="9" s="1"/>
  <c r="BM179" i="9"/>
  <c r="BN178" i="9"/>
  <c r="BO178" i="9" s="1"/>
  <c r="BN177" i="9"/>
  <c r="BO177" i="9" s="1"/>
  <c r="BM177" i="9"/>
  <c r="BN176" i="9"/>
  <c r="BO176" i="9" s="1"/>
  <c r="BM176" i="9"/>
  <c r="BN38" i="9"/>
  <c r="BO38" i="9" s="1"/>
  <c r="BM38" i="9"/>
  <c r="BN111" i="9"/>
  <c r="BO111" i="9" s="1"/>
  <c r="BM111" i="9"/>
  <c r="BN159" i="9"/>
  <c r="BO159" i="9" s="1"/>
  <c r="BM159" i="9"/>
  <c r="BN37" i="9"/>
  <c r="BO37" i="9" s="1"/>
  <c r="BM37" i="9"/>
  <c r="BN35" i="9"/>
  <c r="BO35" i="9" s="1"/>
  <c r="BM35" i="9"/>
  <c r="BN34" i="9"/>
  <c r="BO34" i="9" s="1"/>
  <c r="BM34" i="9"/>
  <c r="CG1" i="9"/>
  <c r="CF1" i="9"/>
  <c r="BN95" i="9"/>
  <c r="BO95" i="9" s="1"/>
  <c r="BM95" i="9"/>
  <c r="BN14" i="9"/>
  <c r="BO14" i="9" s="1"/>
  <c r="BM14" i="9"/>
  <c r="BN9" i="9"/>
  <c r="BO9" i="9" s="1"/>
  <c r="BM9" i="9"/>
  <c r="BN168" i="9"/>
  <c r="BO168" i="9" s="1"/>
  <c r="BM168" i="9"/>
  <c r="BN133" i="9"/>
  <c r="BO133" i="9" s="1"/>
  <c r="BM133" i="9"/>
  <c r="BN158" i="9"/>
  <c r="BO158" i="9" s="1"/>
  <c r="BM158" i="9"/>
  <c r="BN143" i="9"/>
  <c r="BO143" i="9" s="1"/>
  <c r="BM143" i="9"/>
  <c r="BN148" i="9"/>
  <c r="BO148" i="9" s="1"/>
  <c r="BM148" i="9"/>
  <c r="BN123" i="9"/>
  <c r="BO123" i="9" s="1"/>
  <c r="BM123" i="9"/>
  <c r="BN76" i="9"/>
  <c r="BO76" i="9" s="1"/>
  <c r="BM76" i="9"/>
  <c r="BN45" i="9"/>
  <c r="BO45" i="9" s="1"/>
  <c r="BM45" i="9"/>
  <c r="BN175" i="9"/>
  <c r="BO175" i="9" s="1"/>
  <c r="BM175" i="9"/>
  <c r="BN135" i="9"/>
  <c r="BO135" i="9" s="1"/>
  <c r="BM135" i="9"/>
  <c r="BN69" i="9"/>
  <c r="BO69" i="9" s="1"/>
  <c r="BM69" i="9"/>
  <c r="BN68" i="9"/>
  <c r="BO68" i="9" s="1"/>
  <c r="BM68" i="9"/>
  <c r="BN44" i="9"/>
  <c r="BO44" i="9" s="1"/>
  <c r="BM44" i="9"/>
  <c r="BN43" i="9"/>
  <c r="BO43" i="9" s="1"/>
  <c r="BM43" i="9"/>
  <c r="BN174" i="9"/>
  <c r="BO174" i="9" s="1"/>
  <c r="BM174" i="9"/>
  <c r="BN173" i="9"/>
  <c r="BO173" i="9" s="1"/>
  <c r="BM173" i="9"/>
  <c r="CE1" i="9"/>
  <c r="CD1" i="9"/>
  <c r="CC1" i="9"/>
  <c r="BM5" i="9"/>
  <c r="BN5" i="9"/>
  <c r="BO5" i="9" s="1"/>
  <c r="BM6" i="9"/>
  <c r="BN6" i="9"/>
  <c r="BO6" i="9" s="1"/>
  <c r="BM7" i="9"/>
  <c r="BN7" i="9"/>
  <c r="BO7" i="9" s="1"/>
  <c r="BM8" i="9"/>
  <c r="BN8" i="9"/>
  <c r="BO8" i="9" s="1"/>
  <c r="BM10" i="9"/>
  <c r="BN10" i="9"/>
  <c r="BO10" i="9" s="1"/>
  <c r="BM11" i="9"/>
  <c r="BN11" i="9"/>
  <c r="BO11" i="9" s="1"/>
  <c r="BM12" i="9"/>
  <c r="BN12" i="9"/>
  <c r="BO12" i="9" s="1"/>
  <c r="BM13" i="9"/>
  <c r="BN13" i="9"/>
  <c r="BO13" i="9" s="1"/>
  <c r="BM15" i="9"/>
  <c r="BN15" i="9"/>
  <c r="BO15" i="9" s="1"/>
  <c r="BM16" i="9"/>
  <c r="BN16" i="9"/>
  <c r="BO16" i="9" s="1"/>
  <c r="BM17" i="9"/>
  <c r="BN17" i="9"/>
  <c r="BO17" i="9" s="1"/>
  <c r="BM18" i="9"/>
  <c r="BN18" i="9"/>
  <c r="BO18" i="9" s="1"/>
  <c r="BM19" i="9"/>
  <c r="BN19" i="9"/>
  <c r="BO19" i="9" s="1"/>
  <c r="BM20" i="9"/>
  <c r="BN20" i="9"/>
  <c r="BO20" i="9" s="1"/>
  <c r="BM21" i="9"/>
  <c r="BN21" i="9"/>
  <c r="BO21" i="9" s="1"/>
  <c r="BM22" i="9"/>
  <c r="BN22" i="9"/>
  <c r="BO22" i="9" s="1"/>
  <c r="BM23" i="9"/>
  <c r="BN23" i="9"/>
  <c r="BO23" i="9" s="1"/>
  <c r="BM24" i="9"/>
  <c r="BN24" i="9"/>
  <c r="BO24" i="9" s="1"/>
  <c r="BM25" i="9"/>
  <c r="BN25" i="9"/>
  <c r="BO25" i="9" s="1"/>
  <c r="BM26" i="9"/>
  <c r="BN26" i="9"/>
  <c r="BO26" i="9" s="1"/>
  <c r="BM27" i="9"/>
  <c r="BN27" i="9"/>
  <c r="BO27" i="9" s="1"/>
  <c r="BM28" i="9"/>
  <c r="BN28" i="9"/>
  <c r="BO28" i="9" s="1"/>
  <c r="BM29" i="9"/>
  <c r="BN29" i="9"/>
  <c r="BO29" i="9" s="1"/>
  <c r="BM30" i="9"/>
  <c r="BN30" i="9"/>
  <c r="BO30" i="9" s="1"/>
  <c r="BM31" i="9"/>
  <c r="BN31" i="9"/>
  <c r="BO31" i="9" s="1"/>
  <c r="BM32" i="9"/>
  <c r="BN32" i="9"/>
  <c r="BO32" i="9" s="1"/>
  <c r="BM33" i="9"/>
  <c r="BN33" i="9"/>
  <c r="BO33" i="9" s="1"/>
  <c r="BM46" i="9"/>
  <c r="BN46" i="9"/>
  <c r="BO46" i="9" s="1"/>
  <c r="BM47" i="9"/>
  <c r="BN47" i="9"/>
  <c r="BO47" i="9" s="1"/>
  <c r="BM48" i="9"/>
  <c r="BN48" i="9"/>
  <c r="BO48" i="9" s="1"/>
  <c r="BM49" i="9"/>
  <c r="BN49" i="9"/>
  <c r="BO49" i="9" s="1"/>
  <c r="BM50" i="9"/>
  <c r="BN50" i="9"/>
  <c r="BO50" i="9" s="1"/>
  <c r="BM51" i="9"/>
  <c r="BN51" i="9"/>
  <c r="BO51" i="9" s="1"/>
  <c r="BM52" i="9"/>
  <c r="BN52" i="9"/>
  <c r="BO52" i="9" s="1"/>
  <c r="BM53" i="9"/>
  <c r="BN53" i="9"/>
  <c r="BO53" i="9" s="1"/>
  <c r="BM54" i="9"/>
  <c r="BN54" i="9"/>
  <c r="BO54" i="9" s="1"/>
  <c r="BM55" i="9"/>
  <c r="BN55" i="9"/>
  <c r="BO55" i="9" s="1"/>
  <c r="BM56" i="9"/>
  <c r="BN56" i="9"/>
  <c r="BO56" i="9" s="1"/>
  <c r="BM57" i="9"/>
  <c r="BN57" i="9"/>
  <c r="BO57" i="9" s="1"/>
  <c r="BM58" i="9"/>
  <c r="BN58" i="9"/>
  <c r="BO58" i="9" s="1"/>
  <c r="BM59" i="9"/>
  <c r="BN59" i="9"/>
  <c r="BO59" i="9" s="1"/>
  <c r="BM63" i="9"/>
  <c r="BN63" i="9"/>
  <c r="BO63" i="9" s="1"/>
  <c r="BM64" i="9"/>
  <c r="BN64" i="9"/>
  <c r="BO64" i="9" s="1"/>
  <c r="BM65" i="9"/>
  <c r="BN65" i="9"/>
  <c r="BO65" i="9" s="1"/>
  <c r="BM66" i="9"/>
  <c r="BN66" i="9"/>
  <c r="BO66" i="9" s="1"/>
  <c r="BM67" i="9"/>
  <c r="BN67" i="9"/>
  <c r="BO67" i="9" s="1"/>
  <c r="BM71" i="9"/>
  <c r="BN71" i="9"/>
  <c r="BO71" i="9" s="1"/>
  <c r="BM73" i="9"/>
  <c r="BN73" i="9"/>
  <c r="BO73" i="9" s="1"/>
  <c r="BM74" i="9"/>
  <c r="BN74" i="9"/>
  <c r="BO74" i="9" s="1"/>
  <c r="BM75" i="9"/>
  <c r="BN75" i="9"/>
  <c r="BO75" i="9" s="1"/>
  <c r="BM77" i="9"/>
  <c r="BN77" i="9"/>
  <c r="BO77" i="9" s="1"/>
  <c r="BM78" i="9"/>
  <c r="BN78" i="9"/>
  <c r="BO78" i="9" s="1"/>
  <c r="BM79" i="9"/>
  <c r="BN79" i="9"/>
  <c r="BO79" i="9" s="1"/>
  <c r="BM80" i="9"/>
  <c r="BN80" i="9"/>
  <c r="BO80" i="9" s="1"/>
  <c r="BM81" i="9"/>
  <c r="BN81" i="9"/>
  <c r="BO81" i="9" s="1"/>
  <c r="BM82" i="9"/>
  <c r="BN82" i="9"/>
  <c r="BO82" i="9" s="1"/>
  <c r="BM83" i="9"/>
  <c r="BN83" i="9"/>
  <c r="BO83" i="9" s="1"/>
  <c r="BM84" i="9"/>
  <c r="BN84" i="9"/>
  <c r="BO84" i="9" s="1"/>
  <c r="BM85" i="9"/>
  <c r="BN85" i="9"/>
  <c r="BO85" i="9" s="1"/>
  <c r="BM86" i="9"/>
  <c r="BN86" i="9"/>
  <c r="BO86" i="9" s="1"/>
  <c r="BM87" i="9"/>
  <c r="BN87" i="9"/>
  <c r="BO87" i="9" s="1"/>
  <c r="BM89" i="9"/>
  <c r="BN89" i="9"/>
  <c r="BO89" i="9" s="1"/>
  <c r="BM90" i="9"/>
  <c r="BN90" i="9"/>
  <c r="BO90" i="9" s="1"/>
  <c r="BM91" i="9"/>
  <c r="BN91" i="9"/>
  <c r="BO91" i="9" s="1"/>
  <c r="BM92" i="9"/>
  <c r="BN92" i="9"/>
  <c r="BO92" i="9" s="1"/>
  <c r="BM93" i="9"/>
  <c r="BN93" i="9"/>
  <c r="BO93" i="9" s="1"/>
  <c r="BM94" i="9"/>
  <c r="BN94" i="9"/>
  <c r="BO94" i="9" s="1"/>
  <c r="BM99" i="9"/>
  <c r="BN99" i="9"/>
  <c r="BO99" i="9" s="1"/>
  <c r="BM100" i="9"/>
  <c r="BN100" i="9"/>
  <c r="BO100" i="9" s="1"/>
  <c r="BM101" i="9"/>
  <c r="BN101" i="9"/>
  <c r="BO101" i="9" s="1"/>
  <c r="BM102" i="9"/>
  <c r="BN102" i="9"/>
  <c r="BO102" i="9" s="1"/>
  <c r="BM103" i="9"/>
  <c r="BN103" i="9"/>
  <c r="BO103" i="9" s="1"/>
  <c r="BM104" i="9"/>
  <c r="BN104" i="9"/>
  <c r="BO104" i="9" s="1"/>
  <c r="BM105" i="9"/>
  <c r="BN105" i="9"/>
  <c r="BO105" i="9" s="1"/>
  <c r="BM106" i="9"/>
  <c r="BN106" i="9"/>
  <c r="BO106" i="9" s="1"/>
  <c r="BM107" i="9"/>
  <c r="BN107" i="9"/>
  <c r="BO107" i="9" s="1"/>
  <c r="BM108" i="9"/>
  <c r="BN108" i="9"/>
  <c r="BO108" i="9" s="1"/>
  <c r="BM109" i="9"/>
  <c r="BN109" i="9"/>
  <c r="BO109" i="9" s="1"/>
  <c r="BM110" i="9"/>
  <c r="BN110" i="9"/>
  <c r="BO110" i="9" s="1"/>
  <c r="BM112" i="9"/>
  <c r="BN112" i="9"/>
  <c r="BO112" i="9" s="1"/>
  <c r="BM113" i="9"/>
  <c r="BN113" i="9"/>
  <c r="BO113" i="9" s="1"/>
  <c r="BM114" i="9"/>
  <c r="BN114" i="9"/>
  <c r="BO114" i="9" s="1"/>
  <c r="BM115" i="9"/>
  <c r="BN115" i="9"/>
  <c r="BO115" i="9" s="1"/>
  <c r="BM116" i="9"/>
  <c r="BN116" i="9"/>
  <c r="BO116" i="9" s="1"/>
  <c r="BM117" i="9"/>
  <c r="BN117" i="9"/>
  <c r="BO117" i="9" s="1"/>
  <c r="BM118" i="9"/>
  <c r="BN118" i="9"/>
  <c r="BO118" i="9" s="1"/>
  <c r="BM119" i="9"/>
  <c r="BN119" i="9"/>
  <c r="BO119" i="9" s="1"/>
  <c r="BM120" i="9"/>
  <c r="BN120" i="9"/>
  <c r="BO120" i="9" s="1"/>
  <c r="BM121" i="9"/>
  <c r="BN121" i="9"/>
  <c r="BO121" i="9" s="1"/>
  <c r="BM122" i="9"/>
  <c r="BN122" i="9"/>
  <c r="BO122" i="9" s="1"/>
  <c r="BM124" i="9"/>
  <c r="BN124" i="9"/>
  <c r="BO124" i="9" s="1"/>
  <c r="BM125" i="9"/>
  <c r="BN125" i="9"/>
  <c r="BO125" i="9" s="1"/>
  <c r="BM126" i="9"/>
  <c r="BN126" i="9"/>
  <c r="BO126" i="9" s="1"/>
  <c r="BM127" i="9"/>
  <c r="BN127" i="9"/>
  <c r="BO127" i="9" s="1"/>
  <c r="BM128" i="9"/>
  <c r="BN128" i="9"/>
  <c r="BO128" i="9" s="1"/>
  <c r="BM129" i="9"/>
  <c r="BN129" i="9"/>
  <c r="BO129" i="9" s="1"/>
  <c r="BM130" i="9"/>
  <c r="BN130" i="9"/>
  <c r="BO130" i="9" s="1"/>
  <c r="BM131" i="9"/>
  <c r="BN131" i="9"/>
  <c r="BO131" i="9" s="1"/>
  <c r="BM132" i="9"/>
  <c r="BN132" i="9"/>
  <c r="BO132" i="9" s="1"/>
  <c r="BM134" i="9"/>
  <c r="BN134" i="9"/>
  <c r="BO134" i="9" s="1"/>
  <c r="BM136" i="9"/>
  <c r="BN136" i="9"/>
  <c r="BO136" i="9" s="1"/>
  <c r="BM137" i="9"/>
  <c r="BN137" i="9"/>
  <c r="BO137" i="9" s="1"/>
  <c r="BM138" i="9"/>
  <c r="BN138" i="9"/>
  <c r="BO138" i="9" s="1"/>
  <c r="BM139" i="9"/>
  <c r="BN139" i="9"/>
  <c r="BO139" i="9" s="1"/>
  <c r="BM140" i="9"/>
  <c r="BN140" i="9"/>
  <c r="BO140" i="9" s="1"/>
  <c r="BM142" i="9"/>
  <c r="BN142" i="9"/>
  <c r="BO142" i="9" s="1"/>
  <c r="BM144" i="9"/>
  <c r="BN144" i="9"/>
  <c r="BO144" i="9" s="1"/>
  <c r="BM145" i="9"/>
  <c r="BN145" i="9"/>
  <c r="BO145" i="9" s="1"/>
  <c r="BM146" i="9"/>
  <c r="BN146" i="9"/>
  <c r="BO146" i="9" s="1"/>
  <c r="BM147" i="9"/>
  <c r="BN147" i="9"/>
  <c r="BO147" i="9" s="1"/>
  <c r="BM149" i="9"/>
  <c r="BN149" i="9"/>
  <c r="BO149" i="9" s="1"/>
  <c r="BM150" i="9"/>
  <c r="BN150" i="9"/>
  <c r="BO150" i="9" s="1"/>
  <c r="BM151" i="9"/>
  <c r="BN151" i="9"/>
  <c r="BO151" i="9" s="1"/>
  <c r="BM152" i="9"/>
  <c r="BN152" i="9"/>
  <c r="BO152" i="9" s="1"/>
  <c r="BM153" i="9"/>
  <c r="BN153" i="9"/>
  <c r="BO153" i="9" s="1"/>
  <c r="BM154" i="9"/>
  <c r="BN154" i="9"/>
  <c r="BO154" i="9" s="1"/>
  <c r="BM155" i="9"/>
  <c r="BN155" i="9"/>
  <c r="BO155" i="9" s="1"/>
  <c r="BM156" i="9"/>
  <c r="BN156" i="9"/>
  <c r="BO156" i="9" s="1"/>
  <c r="BM157" i="9"/>
  <c r="BN157" i="9"/>
  <c r="BO157" i="9" s="1"/>
  <c r="BM160" i="9"/>
  <c r="BN160" i="9"/>
  <c r="BO160" i="9" s="1"/>
  <c r="BM161" i="9"/>
  <c r="BN161" i="9"/>
  <c r="BO161" i="9" s="1"/>
  <c r="BM162" i="9"/>
  <c r="BN162" i="9"/>
  <c r="BO162" i="9" s="1"/>
  <c r="BM163" i="9"/>
  <c r="BN163" i="9"/>
  <c r="BO163" i="9" s="1"/>
  <c r="BM164" i="9"/>
  <c r="BN164" i="9"/>
  <c r="BO164" i="9" s="1"/>
  <c r="BM165" i="9"/>
  <c r="BN165" i="9"/>
  <c r="BO165" i="9" s="1"/>
  <c r="BM166" i="9"/>
  <c r="BN166" i="9"/>
  <c r="BO166" i="9" s="1"/>
  <c r="BM167" i="9"/>
  <c r="BN167" i="9"/>
  <c r="BO167" i="9" s="1"/>
  <c r="BM169" i="9"/>
  <c r="BN169" i="9"/>
  <c r="BO169" i="9" s="1"/>
  <c r="BM170" i="9"/>
  <c r="BN170" i="9"/>
  <c r="BO170" i="9" s="1"/>
  <c r="BM171" i="9"/>
  <c r="BN171" i="9"/>
  <c r="BO171" i="9" s="1"/>
  <c r="BM172" i="9"/>
  <c r="BN172" i="9"/>
  <c r="BO172" i="9" s="1"/>
  <c r="BM182" i="9"/>
  <c r="BN182" i="9"/>
  <c r="BO182" i="9" s="1"/>
  <c r="BM4" i="9"/>
  <c r="BN4" i="9"/>
  <c r="BO4" i="9" s="1"/>
  <c r="BN3" i="9"/>
  <c r="BO3" i="9" s="1"/>
  <c r="BM3" i="9"/>
  <c r="CB1" i="9"/>
  <c r="CA1" i="9"/>
  <c r="BZ1" i="9"/>
  <c r="BY1" i="9"/>
  <c r="BR1" i="9"/>
  <c r="BS1" i="9"/>
  <c r="BT1" i="9"/>
  <c r="BU1" i="9"/>
  <c r="BX1" i="9"/>
  <c r="BW1" i="9"/>
  <c r="BV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</author>
    <author>Autore</author>
    <author>luca</author>
  </authors>
  <commentList>
    <comment ref="AS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NERO</t>
        </r>
      </text>
    </comment>
    <comment ref="AT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SILVER</t>
        </r>
      </text>
    </comment>
    <comment ref="AU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NERO</t>
        </r>
      </text>
    </comment>
    <comment ref="BP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01.03.24</t>
        </r>
      </text>
    </comment>
    <comment ref="BQ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01.03.24</t>
        </r>
      </text>
    </comment>
    <comment ref="BV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27.01.21
check 01.12.21</t>
        </r>
      </text>
    </comment>
    <comment ref="BW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27.05.21
check 01.12.21</t>
        </r>
      </text>
    </comment>
    <comment ref="BX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24.02.22
ETD 11.06.22
check 22.08.22</t>
        </r>
      </text>
    </comment>
    <comment ref="BY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27.06.22</t>
        </r>
      </text>
    </comment>
    <comment ref="BZ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check 24.11.22</t>
        </r>
      </text>
    </comment>
    <comment ref="CA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21.02.23</t>
        </r>
      </text>
    </comment>
    <comment ref="CB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17.04.23</t>
        </r>
      </text>
    </comment>
    <comment ref="CC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29 giugno
NAPOLI
check 30.08.23</t>
        </r>
      </text>
    </comment>
    <comment ref="CD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29 giugno
check 01.08.23</t>
        </r>
      </text>
    </comment>
    <comment ref="CE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29.06.23</t>
        </r>
      </text>
    </comment>
    <comment ref="CF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22.08.23
check 02.10.23</t>
        </r>
      </text>
    </comment>
    <comment ref="CG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25.08.23
check 22.12.23</t>
        </r>
      </text>
    </comment>
    <comment ref="CH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07.03.24</t>
        </r>
      </text>
    </comment>
    <comment ref="CI2" authorId="0" shapeId="0" xr:uid="{F902638E-D9A3-4A84-AEAD-B2E2CE2680C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26.04.24</t>
        </r>
      </text>
    </comment>
    <comment ref="CJ2" authorId="0" shapeId="0" xr:uid="{35712F0B-602D-423A-898D-A69D025C205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15.05.24
check 18.07.24</t>
        </r>
      </text>
    </comment>
    <comment ref="CK2" authorId="0" shapeId="0" xr:uid="{C703A35F-68DC-4A1D-BF08-D435C7791992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15.05.24
check 26.06.24</t>
        </r>
      </text>
    </comment>
    <comment ref="CM2" authorId="1" shapeId="0" xr:uid="{ADB51BC0-6A8D-47F7-8BD2-06C4508361A7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24.07.24
check 02.10.24</t>
        </r>
      </text>
    </comment>
    <comment ref="CN2" authorId="0" shapeId="0" xr:uid="{11F10E76-CBAB-4E85-969F-996B52BDBA4B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10.06.24</t>
        </r>
      </text>
    </comment>
    <comment ref="CO2" authorId="0" shapeId="0" xr:uid="{592E0E10-36AF-4D10-B62A-EC83C6EFDE61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05.07.24</t>
        </r>
      </text>
    </comment>
    <comment ref="CP2" authorId="0" shapeId="0" xr:uid="{BC38F6BE-7089-41A8-9C0B-C0C1CA62641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22.11.24
check 07.02.25</t>
        </r>
      </text>
    </comment>
    <comment ref="CQ2" authorId="0" shapeId="0" xr:uid="{44D68073-5AA5-40EE-B2CD-27C4EADB607E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01.01.25</t>
        </r>
      </text>
    </comment>
    <comment ref="CR2" authorId="0" shapeId="0" xr:uid="{A192A487-2790-4016-A851-C0F0BE17973D}">
      <text>
        <r>
          <rPr>
            <b/>
            <sz val="9"/>
            <color indexed="81"/>
            <rFont val="Tahoma"/>
            <charset val="1"/>
          </rPr>
          <t>Luca:</t>
        </r>
        <r>
          <rPr>
            <sz val="9"/>
            <color indexed="81"/>
            <rFont val="Tahoma"/>
            <charset val="1"/>
          </rPr>
          <t xml:space="preserve">
ETD 07.03.25
ETA 01.05</t>
        </r>
      </text>
    </comment>
    <comment ref="CS2" authorId="0" shapeId="0" xr:uid="{21E30F35-1263-478A-A29D-D2DFAEBF3EEE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08.05.25</t>
        </r>
      </text>
    </comment>
    <comment ref="C1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14.05.19</t>
        </r>
      </text>
    </comment>
    <comment ref="C2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12570000B20998 new code 14.05.19</t>
        </r>
      </text>
    </comment>
    <comment ref="C5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12270000B53021 new code 14.05.19</t>
        </r>
      </text>
    </comment>
    <comment ref="H8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vedi MWWE20103</t>
        </r>
      </text>
    </comment>
    <comment ref="BW82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vedi MWWE20103</t>
        </r>
      </text>
    </comment>
    <comment ref="BP8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+ 3 pz per sostituzione</t>
        </r>
      </text>
    </comment>
    <comment ref="C86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17170000006442 
new code 12.03.19</t>
        </r>
      </text>
    </comment>
    <comment ref="C10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17470000A02419 new code 14.05.19</t>
        </r>
      </text>
    </comment>
    <comment ref="BU10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10 pz by air
check 24.04.20</t>
        </r>
      </text>
    </comment>
    <comment ref="C104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17470000009104
new code 12.03.19</t>
        </r>
      </text>
    </comment>
    <comment ref="H105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da Giugno 2021</t>
        </r>
      </text>
    </comment>
    <comment ref="C113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11002014000754
new code 12.03.19</t>
        </r>
      </text>
    </comment>
    <comment ref="C119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17470000001006</t>
        </r>
      </text>
    </comment>
    <comment ref="C120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17470000009123
new code 12.03.19</t>
        </r>
      </text>
    </comment>
    <comment ref="C121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17470000009109
new code 12.03.19</t>
        </r>
      </text>
    </comment>
    <comment ref="C122" authorId="2" shapeId="0" xr:uid="{00000000-0006-0000-0000-000022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OR 17470000001559</t>
        </r>
      </text>
    </comment>
    <comment ref="BP126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+ 2 pz per sostituzione</t>
        </r>
      </text>
    </comment>
    <comment ref="BP138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-10 per MWWE31004</t>
        </r>
      </text>
    </comment>
    <comment ref="BP14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+ 10 da MWWE31002</t>
        </r>
      </text>
    </comment>
    <comment ref="C14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or 17470000001477</t>
        </r>
      </text>
    </comment>
    <comment ref="H160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compatibile con MWWE31201?</t>
        </r>
      </text>
    </comment>
  </commentList>
</comments>
</file>

<file path=xl/sharedStrings.xml><?xml version="1.0" encoding="utf-8"?>
<sst xmlns="http://schemas.openxmlformats.org/spreadsheetml/2006/main" count="1854" uniqueCount="775">
  <si>
    <t>Descrizione ricambio</t>
  </si>
  <si>
    <t>VAR</t>
  </si>
  <si>
    <t>MOTORE VENTOLA</t>
  </si>
  <si>
    <t>MG823ECI</t>
  </si>
  <si>
    <t>MG720CWW</t>
  </si>
  <si>
    <t>MG820C4H</t>
  </si>
  <si>
    <t>MG720CKL</t>
  </si>
  <si>
    <t>MG823AA6</t>
  </si>
  <si>
    <t>AG925EHL</t>
  </si>
  <si>
    <t>AG823AKV</t>
  </si>
  <si>
    <t>AG820CGO</t>
  </si>
  <si>
    <t>AG820CXP</t>
  </si>
  <si>
    <t>AG823EKW</t>
  </si>
  <si>
    <t>VMW823G</t>
  </si>
  <si>
    <t>MK820CGO</t>
  </si>
  <si>
    <t>ME208CXP</t>
  </si>
  <si>
    <t>ME238AKW</t>
  </si>
  <si>
    <t>AC925E4F-S00E</t>
  </si>
  <si>
    <t>MK925XEV</t>
  </si>
  <si>
    <t>SM820C4H</t>
  </si>
  <si>
    <t>VMW720G</t>
  </si>
  <si>
    <t>MG820COR</t>
  </si>
  <si>
    <t>ME208COR</t>
  </si>
  <si>
    <t>ME238AA6</t>
  </si>
  <si>
    <t>PORTA</t>
  </si>
  <si>
    <t>TIPO</t>
  </si>
  <si>
    <t>FABB</t>
  </si>
  <si>
    <t>CODICE</t>
  </si>
  <si>
    <t>MW</t>
  </si>
  <si>
    <t>W</t>
  </si>
  <si>
    <t>01</t>
  </si>
  <si>
    <t>02</t>
  </si>
  <si>
    <t>03</t>
  </si>
  <si>
    <t>AC01</t>
  </si>
  <si>
    <t>AC02</t>
  </si>
  <si>
    <t>AC03</t>
  </si>
  <si>
    <t>CA01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</si>
  <si>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</si>
  <si>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</si>
  <si>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</si>
  <si>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</si>
  <si>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</si>
  <si>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</si>
  <si>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</si>
  <si>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</si>
  <si>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</si>
  <si>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ME01</t>
  </si>
  <si>
    <t>CA02</t>
  </si>
  <si>
    <t>E101</t>
  </si>
  <si>
    <t>GRILL RESISTENZA</t>
  </si>
  <si>
    <t>E301</t>
  </si>
  <si>
    <t>E302</t>
  </si>
  <si>
    <t>E303</t>
  </si>
  <si>
    <t>ME02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</si>
  <si>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</si>
  <si>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</si>
  <si>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</si>
  <si>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</si>
  <si>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</si>
  <si>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</si>
  <si>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</si>
  <si>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</si>
  <si>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</si>
  <si>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E201</t>
  </si>
  <si>
    <t>E202</t>
  </si>
  <si>
    <t>SCHEDA ALIMENTAZIONE</t>
  </si>
  <si>
    <t>SCHEDA CONTROLLO con display</t>
  </si>
  <si>
    <t>GRILL INFRAROSSI</t>
  </si>
  <si>
    <t>PERNO PIATTO</t>
  </si>
  <si>
    <t>SM823ECIS</t>
  </si>
  <si>
    <t>SM720CWW</t>
  </si>
  <si>
    <t>MK925EHL</t>
  </si>
  <si>
    <t>VMO259DS</t>
  </si>
  <si>
    <t>SM823AKV</t>
  </si>
  <si>
    <t>MAGNETRON 700W</t>
  </si>
  <si>
    <t>CONDENSATORE HV 700W</t>
  </si>
  <si>
    <t>CONDENSATORE HV 800W</t>
  </si>
  <si>
    <t>CONDENSATORE HV 900W</t>
  </si>
  <si>
    <t>TRASFORMATORE 700W</t>
  </si>
  <si>
    <t>TRASFORMATORE 800W</t>
  </si>
  <si>
    <t>TRASFORMATORE 900W</t>
  </si>
  <si>
    <t>MOTORE PIATTO</t>
  </si>
  <si>
    <t>PIEDINO</t>
  </si>
  <si>
    <t>gruppo CONTROLLI con Timer 20L</t>
  </si>
  <si>
    <t>gruppo CONTROLLI con Timer 23L</t>
  </si>
  <si>
    <t>?</t>
  </si>
  <si>
    <t>E203</t>
  </si>
  <si>
    <t>MG720CE6-P00E</t>
  </si>
  <si>
    <t>KM720VC</t>
  </si>
  <si>
    <t>13</t>
  </si>
  <si>
    <r>
      <t xml:space="preserve">PIATTO </t>
    </r>
    <r>
      <rPr>
        <sz val="10"/>
        <color rgb="FF0000FF"/>
        <rFont val="Arial"/>
        <family val="2"/>
      </rPr>
      <t>23L</t>
    </r>
  </si>
  <si>
    <r>
      <t xml:space="preserve">PIATTO </t>
    </r>
    <r>
      <rPr>
        <sz val="10"/>
        <color rgb="FF0000FF"/>
        <rFont val="Arial"/>
        <family val="2"/>
      </rPr>
      <t>25L</t>
    </r>
  </si>
  <si>
    <t>SUPPORTO GIREVOLE PIATTO 20-23 L</t>
  </si>
  <si>
    <r>
      <t xml:space="preserve">SUPPORTO GIREVOLE PIATTO </t>
    </r>
    <r>
      <rPr>
        <sz val="10"/>
        <color rgb="FF0000FF"/>
        <rFont val="Arial"/>
        <family val="2"/>
      </rPr>
      <t>25 L</t>
    </r>
  </si>
  <si>
    <t>GRIGLIA 20L</t>
  </si>
  <si>
    <t>GRIGLIA 23L</t>
  </si>
  <si>
    <t>GRIGLIA 25L</t>
  </si>
  <si>
    <t>12270000A61551+12570000000541</t>
  </si>
  <si>
    <t>12270000A56415+12570000000606</t>
  </si>
  <si>
    <t>12270000A49667+12570000000555</t>
  </si>
  <si>
    <t>12270000A58387+12570000000626</t>
  </si>
  <si>
    <t>12270000A61605+12570000000383</t>
  </si>
  <si>
    <t>12270000A29638+12570000A01991</t>
  </si>
  <si>
    <t>12270000A61847</t>
  </si>
  <si>
    <t>MAGNETRON 800W-900W</t>
  </si>
  <si>
    <t xml:space="preserve">SCHEDA ALIMENTAZIONE </t>
  </si>
  <si>
    <t>17170000010080+17170000004679</t>
  </si>
  <si>
    <t>SCHEDA CONTROLLO con display FORNO</t>
  </si>
  <si>
    <t>17170000010101+17170000007641</t>
  </si>
  <si>
    <t>PORTALAMPADA</t>
  </si>
  <si>
    <t>MOTORE VENTOLA FORNO</t>
  </si>
  <si>
    <t xml:space="preserve">DIODO HV </t>
  </si>
  <si>
    <r>
      <t xml:space="preserve">FUSIBILI MAGN. </t>
    </r>
    <r>
      <rPr>
        <sz val="10"/>
        <color rgb="FF0000FF"/>
        <rFont val="Arial"/>
        <family val="2"/>
      </rPr>
      <t>700W-20L</t>
    </r>
  </si>
  <si>
    <r>
      <t xml:space="preserve">FUSIBILI MAGN. </t>
    </r>
    <r>
      <rPr>
        <sz val="10"/>
        <color rgb="FF0000FF"/>
        <rFont val="Arial"/>
        <family val="2"/>
      </rPr>
      <t>800W-20L</t>
    </r>
  </si>
  <si>
    <t>FUSIBILI MAGN. 800W-23L</t>
  </si>
  <si>
    <t>FUSIBILI MAGN. 900W-25L</t>
  </si>
  <si>
    <r>
      <t xml:space="preserve">TERMOSTATO MAGN. </t>
    </r>
    <r>
      <rPr>
        <sz val="10"/>
        <color rgb="FF0000FF"/>
        <rFont val="Arial"/>
        <family val="2"/>
      </rPr>
      <t>(160/95)</t>
    </r>
  </si>
  <si>
    <r>
      <t xml:space="preserve">TERMOSTATO MAGN. </t>
    </r>
    <r>
      <rPr>
        <sz val="10"/>
        <color rgb="FF0000FF"/>
        <rFont val="Arial"/>
        <family val="2"/>
      </rPr>
      <t>(assy)</t>
    </r>
  </si>
  <si>
    <t>si</t>
  </si>
  <si>
    <r>
      <t xml:space="preserve">TERMOSTATO </t>
    </r>
    <r>
      <rPr>
        <sz val="10"/>
        <color rgb="FF0000FF"/>
        <rFont val="Arial"/>
        <family val="2"/>
      </rPr>
      <t>CAVITA' (70/59)</t>
    </r>
  </si>
  <si>
    <r>
      <t xml:space="preserve">TERMOSTATO </t>
    </r>
    <r>
      <rPr>
        <sz val="10"/>
        <color rgb="FF0000FF"/>
        <rFont val="Arial"/>
        <family val="2"/>
      </rPr>
      <t>CAVITA' (90/80)</t>
    </r>
  </si>
  <si>
    <r>
      <t xml:space="preserve">TERMOSTATO </t>
    </r>
    <r>
      <rPr>
        <sz val="10"/>
        <color rgb="FF0000FF"/>
        <rFont val="Arial"/>
        <family val="2"/>
      </rPr>
      <t>CAVITA' (100/90)</t>
    </r>
  </si>
  <si>
    <t>Gruppo MICROSWITCH</t>
  </si>
  <si>
    <t xml:space="preserve">Gruppo MICROSWITCH </t>
  </si>
  <si>
    <r>
      <t xml:space="preserve">VENTOLA </t>
    </r>
    <r>
      <rPr>
        <sz val="10"/>
        <color rgb="FF0000FF"/>
        <rFont val="Arial"/>
        <family val="2"/>
      </rPr>
      <t>20L</t>
    </r>
  </si>
  <si>
    <r>
      <t xml:space="preserve">VENTOLA </t>
    </r>
    <r>
      <rPr>
        <sz val="10"/>
        <color rgb="FF0000FF"/>
        <rFont val="Arial"/>
        <family val="2"/>
      </rPr>
      <t>23-25L</t>
    </r>
  </si>
  <si>
    <t>MIDEA part code</t>
  </si>
  <si>
    <t>DESC. PARTE</t>
  </si>
  <si>
    <t>PIATTO</t>
  </si>
  <si>
    <t>SUPPORTO GIREVOLE PIATTO</t>
  </si>
  <si>
    <t>GRIGLIA</t>
  </si>
  <si>
    <t>MANOPOLA</t>
  </si>
  <si>
    <t>CA03</t>
  </si>
  <si>
    <t>MAGNETRON</t>
  </si>
  <si>
    <t>gruppo CONTROLLI con Timer</t>
  </si>
  <si>
    <t>LAMPADINA CON PORTALAMPADA</t>
  </si>
  <si>
    <t>CONDENSATORE HV</t>
  </si>
  <si>
    <t>DIODO HV</t>
  </si>
  <si>
    <t>FUSIBILI MAGN.</t>
  </si>
  <si>
    <t>TRASFORMATORE</t>
  </si>
  <si>
    <t>TERMOSTATO MAGN.</t>
  </si>
  <si>
    <t>TERMOSTATO CAVITA'</t>
  </si>
  <si>
    <t>MICROSWITCH</t>
  </si>
  <si>
    <t>VENTOLA</t>
  </si>
  <si>
    <t>MWWAC0101</t>
  </si>
  <si>
    <t>MWWAC0102</t>
  </si>
  <si>
    <t>MWWAC0103</t>
  </si>
  <si>
    <t>MWWAC0201</t>
  </si>
  <si>
    <t>MWWAC0202</t>
  </si>
  <si>
    <t>MWWAC0301</t>
  </si>
  <si>
    <t>MWWAC0302</t>
  </si>
  <si>
    <t>MWWAC0303</t>
  </si>
  <si>
    <t>MWWCA0101</t>
  </si>
  <si>
    <t>MWWCA0102</t>
  </si>
  <si>
    <t>MWWCA0103</t>
  </si>
  <si>
    <t>MWWCA0104</t>
  </si>
  <si>
    <t>MWWCA0105</t>
  </si>
  <si>
    <t>MWWCA0106</t>
  </si>
  <si>
    <t>MWWCA0107</t>
  </si>
  <si>
    <t>MWWCA0108</t>
  </si>
  <si>
    <t>MWWCA0109</t>
  </si>
  <si>
    <t>MWWCA0110</t>
  </si>
  <si>
    <t>MWWCA0111</t>
  </si>
  <si>
    <t>MWWCA0112</t>
  </si>
  <si>
    <t>MWWCA0113</t>
  </si>
  <si>
    <t>MWWCA0201</t>
  </si>
  <si>
    <t>MWWE10101</t>
  </si>
  <si>
    <t>MWWE10102</t>
  </si>
  <si>
    <t>MWWE20101</t>
  </si>
  <si>
    <t>MWWE20102</t>
  </si>
  <si>
    <t>MWWE20103</t>
  </si>
  <si>
    <t>MWWE20104</t>
  </si>
  <si>
    <t>MWWE20105</t>
  </si>
  <si>
    <t>MWWE20106</t>
  </si>
  <si>
    <t>MWWE20201</t>
  </si>
  <si>
    <t>MWWE20202</t>
  </si>
  <si>
    <t>MWWE20203</t>
  </si>
  <si>
    <t>MWWE20204</t>
  </si>
  <si>
    <t>MWWE20205</t>
  </si>
  <si>
    <t>MWWE20206</t>
  </si>
  <si>
    <t>MWWE20207</t>
  </si>
  <si>
    <t>MWWE20301</t>
  </si>
  <si>
    <t>MWWE20302</t>
  </si>
  <si>
    <t>MWWE30101</t>
  </si>
  <si>
    <t>MWWE30102</t>
  </si>
  <si>
    <t>MWWE30201</t>
  </si>
  <si>
    <t>MWWE30202</t>
  </si>
  <si>
    <t>MWWE30203</t>
  </si>
  <si>
    <t>MWWE30301</t>
  </si>
  <si>
    <t>MWWE30401</t>
  </si>
  <si>
    <t>MWWE30402</t>
  </si>
  <si>
    <t>MWWE30403</t>
  </si>
  <si>
    <t>MWWE30501</t>
  </si>
  <si>
    <t>MWWE30601</t>
  </si>
  <si>
    <t>MWWE30602</t>
  </si>
  <si>
    <t>MWWE30603</t>
  </si>
  <si>
    <t>MWWE30604</t>
  </si>
  <si>
    <t>MWWE30701</t>
  </si>
  <si>
    <t>MWWE30702</t>
  </si>
  <si>
    <t>MWWE30703</t>
  </si>
  <si>
    <t>MWWE30704</t>
  </si>
  <si>
    <t>MWWE30705</t>
  </si>
  <si>
    <t>MWWE30801</t>
  </si>
  <si>
    <t>MWWE30802</t>
  </si>
  <si>
    <t>MWWE30901</t>
  </si>
  <si>
    <t>MWWE30902</t>
  </si>
  <si>
    <t>MWWE31001</t>
  </si>
  <si>
    <t>MWWE31101</t>
  </si>
  <si>
    <t>MWWE31102</t>
  </si>
  <si>
    <t>MWWE31103</t>
  </si>
  <si>
    <t>MWWE31201</t>
  </si>
  <si>
    <t>MWWE31202</t>
  </si>
  <si>
    <t>MWWE31203</t>
  </si>
  <si>
    <t>MWWME0101</t>
  </si>
  <si>
    <t>MWWME0201</t>
  </si>
  <si>
    <t>MWWME0202</t>
  </si>
  <si>
    <t>+2</t>
  </si>
  <si>
    <t>12270000A87107</t>
  </si>
  <si>
    <t>17270000A68207</t>
  </si>
  <si>
    <t>SM820C7HS</t>
  </si>
  <si>
    <t>MG720CY6-P00E</t>
  </si>
  <si>
    <t>SM720CY6</t>
  </si>
  <si>
    <t>Out Pass</t>
  </si>
  <si>
    <t>PART DESCRIPTION</t>
  </si>
  <si>
    <t>GLASS TRAY (20L)</t>
  </si>
  <si>
    <t>GLASS TRAY (23L)</t>
  </si>
  <si>
    <t>GLASS TRAY (25L)</t>
  </si>
  <si>
    <t>ASS'Y RING ROTATING (20L)</t>
  </si>
  <si>
    <t>ASS'Y RING ROTATING (23-25L)</t>
  </si>
  <si>
    <t>RACK (20L)</t>
  </si>
  <si>
    <t>RACK (23L)</t>
  </si>
  <si>
    <t>RACK (25L)</t>
  </si>
  <si>
    <t>ASS'Y DOOR (MG720CWW)</t>
  </si>
  <si>
    <t>ASS'Y DOOR (MG720CKL)</t>
  </si>
  <si>
    <t>ASS'Y DOOR (MG820C4H)</t>
  </si>
  <si>
    <t>ASS'Y DOOR (MG820COR)</t>
  </si>
  <si>
    <t>ASS'Y DOOR (AG820CGO)</t>
  </si>
  <si>
    <t>ASS'Y DOOR (AG820CXP)</t>
  </si>
  <si>
    <t>ASS'Y DOOR (MG823ECI)</t>
  </si>
  <si>
    <t>ASS'Y DOOR (MG823AA6)</t>
  </si>
  <si>
    <t>ASS'Y DOOR (AG823AKV)</t>
  </si>
  <si>
    <t>ASS'Y DOOR (AG823EKW)</t>
  </si>
  <si>
    <t>ASS'Y DOOR (AG925EHL)</t>
  </si>
  <si>
    <t>ASS'Y DOOR (AC925E4F)</t>
  </si>
  <si>
    <t>ASS'Y DOOR (MG720CE6)</t>
  </si>
  <si>
    <t>FOOT</t>
  </si>
  <si>
    <t>ASS'Y NOISE FILTER</t>
  </si>
  <si>
    <t>ASS'Y PCB + SUB PCB</t>
  </si>
  <si>
    <t>ASS'Y PCB</t>
  </si>
  <si>
    <t>TIMER</t>
  </si>
  <si>
    <t>TIMER (MG823ECI)</t>
  </si>
  <si>
    <t>LAMP SOCKET</t>
  </si>
  <si>
    <t>FAN MOTOR</t>
  </si>
  <si>
    <t>Motor Convection</t>
  </si>
  <si>
    <t>TURNTABLE MOTOR</t>
  </si>
  <si>
    <t>H.V.CAPACITOR 700W</t>
  </si>
  <si>
    <t>H.V.CAPACITOR 800W</t>
  </si>
  <si>
    <t>H.V.CAPACITOR 900W</t>
  </si>
  <si>
    <t>H.V.DIODE</t>
  </si>
  <si>
    <t>H.V.FUSE</t>
  </si>
  <si>
    <t>H.V.TRANSFORMER</t>
  </si>
  <si>
    <t>METAL HEATER *UPPER</t>
  </si>
  <si>
    <t>QUARTZ HEATER</t>
  </si>
  <si>
    <t>THERMOSTAT 160/95℃ *V</t>
  </si>
  <si>
    <t>ASS'Y THERMOSTAT</t>
  </si>
  <si>
    <t>THERMOSTAT 70/59℃ *H</t>
  </si>
  <si>
    <t>THERMOSTAT 90/80℃ *H</t>
  </si>
  <si>
    <t>THERMOSTAT 100℃/90℃ *H</t>
  </si>
  <si>
    <t xml:space="preserve">ASS'Y INTERLOCK </t>
  </si>
  <si>
    <t>COUPLER</t>
  </si>
  <si>
    <t>FAN</t>
  </si>
  <si>
    <t>DESCR SINPRO</t>
  </si>
  <si>
    <t>PMWAC01</t>
  </si>
  <si>
    <t>PMWAC02</t>
  </si>
  <si>
    <t>PMWAC03</t>
  </si>
  <si>
    <t>PMWCA01</t>
  </si>
  <si>
    <t>PMWCA02</t>
  </si>
  <si>
    <t>PMWE101</t>
  </si>
  <si>
    <t>PMWE201</t>
  </si>
  <si>
    <t>PMWE202</t>
  </si>
  <si>
    <t>PMWE203</t>
  </si>
  <si>
    <t>PMWE301</t>
  </si>
  <si>
    <t>PMWE302</t>
  </si>
  <si>
    <t>PMWE303</t>
  </si>
  <si>
    <t>PMWE304</t>
  </si>
  <si>
    <t>PMWE305</t>
  </si>
  <si>
    <t>PMWE306</t>
  </si>
  <si>
    <t>PMWE307</t>
  </si>
  <si>
    <t>PMWE308</t>
  </si>
  <si>
    <t>PMWE309</t>
  </si>
  <si>
    <t>PMWE310</t>
  </si>
  <si>
    <t>PMWE311</t>
  </si>
  <si>
    <t>PMWE312</t>
  </si>
  <si>
    <t>PMWME01</t>
  </si>
  <si>
    <t>PMWME02</t>
  </si>
  <si>
    <t>Shaded-pole motor</t>
  </si>
  <si>
    <t>7+6</t>
  </si>
  <si>
    <t>3+2</t>
  </si>
  <si>
    <t>5+4</t>
  </si>
  <si>
    <t>3+3</t>
  </si>
  <si>
    <t>50+44</t>
  </si>
  <si>
    <t>15+11</t>
  </si>
  <si>
    <t>31+25</t>
  </si>
  <si>
    <t>2+1</t>
  </si>
  <si>
    <t>5+5</t>
  </si>
  <si>
    <t>4+2</t>
  </si>
  <si>
    <t>SCHEDA DISPLAY</t>
  </si>
  <si>
    <t>DISPLAY PCB</t>
  </si>
  <si>
    <t>MWWE20208</t>
  </si>
  <si>
    <t>stock Pass</t>
  </si>
  <si>
    <t>LAMP + LAMP SOCKET</t>
  </si>
  <si>
    <t>LAMPADINA 25W + PORTALAMPADA</t>
  </si>
  <si>
    <t>SCHEDA CONTROLLO + PULSANTIERA</t>
  </si>
  <si>
    <t>17170000001009+ 17170000014044</t>
  </si>
  <si>
    <t>SK820CGO</t>
  </si>
  <si>
    <t>12270000B13945A</t>
  </si>
  <si>
    <t>ASS'Y DOOR (SM820C7HS)</t>
  </si>
  <si>
    <t>14</t>
  </si>
  <si>
    <t>MWWCA0114</t>
  </si>
  <si>
    <t>15</t>
  </si>
  <si>
    <t>MWWCA0115</t>
  </si>
  <si>
    <t>MWWE31002</t>
  </si>
  <si>
    <t>MWWE31003</t>
  </si>
  <si>
    <t>12170000003369+12170000007318+17470000008423+17470000008425</t>
  </si>
  <si>
    <t>MWWE31204</t>
  </si>
  <si>
    <t>Tot. ORD 2017</t>
  </si>
  <si>
    <t>39+30</t>
  </si>
  <si>
    <t>54+42</t>
  </si>
  <si>
    <r>
      <t>1</t>
    </r>
    <r>
      <rPr>
        <b/>
        <sz val="10"/>
        <color rgb="FFFF0000"/>
        <rFont val="Arial"/>
        <family val="2"/>
      </rPr>
      <t>+2</t>
    </r>
  </si>
  <si>
    <r>
      <rPr>
        <b/>
        <sz val="10"/>
        <color rgb="FF0000FF"/>
        <rFont val="Arial"/>
        <family val="2"/>
      </rPr>
      <t>2</t>
    </r>
    <r>
      <rPr>
        <b/>
        <sz val="10"/>
        <color rgb="FFFF0000"/>
        <rFont val="Arial"/>
        <family val="2"/>
      </rPr>
      <t>+1</t>
    </r>
  </si>
  <si>
    <t>9+7</t>
  </si>
  <si>
    <t>11+3</t>
  </si>
  <si>
    <t>4+1</t>
  </si>
  <si>
    <t>9+6</t>
  </si>
  <si>
    <t>8+2</t>
  </si>
  <si>
    <t>8+5</t>
  </si>
  <si>
    <t>Tot. ORD 2018</t>
  </si>
  <si>
    <t>MWWME0102</t>
  </si>
  <si>
    <t>MWWAC0104</t>
  </si>
  <si>
    <r>
      <t>PIATTO</t>
    </r>
    <r>
      <rPr>
        <sz val="10"/>
        <color rgb="FF0000FF"/>
        <rFont val="Arial"/>
        <family val="2"/>
      </rPr>
      <t xml:space="preserve"> 20L bigger</t>
    </r>
  </si>
  <si>
    <r>
      <t>PIATTO</t>
    </r>
    <r>
      <rPr>
        <sz val="10"/>
        <color rgb="FF0000FF"/>
        <rFont val="Arial"/>
        <family val="2"/>
      </rPr>
      <t xml:space="preserve"> 20L smaller</t>
    </r>
  </si>
  <si>
    <t xml:space="preserve">17470000009104 or 17470000000636 </t>
  </si>
  <si>
    <t>12270000B53021 or 12270000B38484A</t>
  </si>
  <si>
    <t>ASS'Y INTERLOCK  (AG820CGO)</t>
  </si>
  <si>
    <t>MWWE31205</t>
  </si>
  <si>
    <t>MWWE31206</t>
  </si>
  <si>
    <t>prezzo EURO al CAT NO trasporto - NO iva - NETTO</t>
  </si>
  <si>
    <t>12270000B48960 or 12570000B20998 or 12270000A61683 + 12570000A02614</t>
  </si>
  <si>
    <t>17170000000881+17170000007453 or 17170000000635+17170000004646</t>
  </si>
  <si>
    <t>Tot. ORD 2019</t>
  </si>
  <si>
    <t>2+2</t>
  </si>
  <si>
    <t>16</t>
  </si>
  <si>
    <t>MWWCA0116</t>
  </si>
  <si>
    <t>PORTA (logo sekom)</t>
  </si>
  <si>
    <t>PORTA (logo smartway)</t>
  </si>
  <si>
    <t>ASS'Y DOOR (MG720CY6) Sekom brand</t>
  </si>
  <si>
    <t>ASS'Y DOOR (MG720CY6) Smartway brand</t>
  </si>
  <si>
    <t>WM823MGS</t>
  </si>
  <si>
    <t>WM820ENG</t>
  </si>
  <si>
    <t>WM720MG</t>
  </si>
  <si>
    <t xml:space="preserve">MM720CR6-PM0E </t>
  </si>
  <si>
    <t>SM207S</t>
  </si>
  <si>
    <t>Swivel Assembly</t>
  </si>
  <si>
    <r>
      <t xml:space="preserve">SUPPORTO GIREVOLE PIATTO </t>
    </r>
    <r>
      <rPr>
        <sz val="10"/>
        <color rgb="FF0000FF"/>
        <rFont val="Arial"/>
        <family val="2"/>
      </rPr>
      <t>20 L</t>
    </r>
  </si>
  <si>
    <t>17</t>
  </si>
  <si>
    <t>TIMER (MM720CR6-PM0E )</t>
  </si>
  <si>
    <t>12170000003378+12170000007320+17470000008423+17470000008425</t>
  </si>
  <si>
    <t>MWWAC0203</t>
  </si>
  <si>
    <t>MWWCA0117</t>
  </si>
  <si>
    <t>MWWE20107</t>
  </si>
  <si>
    <t>MWWE20303</t>
  </si>
  <si>
    <t>MWWE31207</t>
  </si>
  <si>
    <t xml:space="preserve">MG720CR6-PM0E </t>
  </si>
  <si>
    <t>MG2070G</t>
  </si>
  <si>
    <t>12270000B52100</t>
  </si>
  <si>
    <t>12270000B43373</t>
  </si>
  <si>
    <t>Synchronous motor</t>
  </si>
  <si>
    <t>11002014A00345</t>
  </si>
  <si>
    <t>MWWE30302</t>
  </si>
  <si>
    <t>ASS'Y DOOR (MG720CR6-PM0E) Gluck brand</t>
  </si>
  <si>
    <t>MWWCA0118</t>
  </si>
  <si>
    <t>18</t>
  </si>
  <si>
    <t>12270000B17427+12570000A25915</t>
  </si>
  <si>
    <t>PORTA (logo gluck)</t>
  </si>
  <si>
    <t>MWHN-20WA</t>
  </si>
  <si>
    <t>MWHN-20WAG</t>
  </si>
  <si>
    <t>19</t>
  </si>
  <si>
    <t>MWWCA0119</t>
  </si>
  <si>
    <t>PORTA (logo hyundai)</t>
  </si>
  <si>
    <t>ASS'Y DOOR (MM720CR6) Sekom brand</t>
  </si>
  <si>
    <t>12270000B60199+12570000A25915</t>
  </si>
  <si>
    <t>MWWCA0202</t>
  </si>
  <si>
    <t>MWWCA0203</t>
  </si>
  <si>
    <t>Door Open Button</t>
  </si>
  <si>
    <t>Power Knob</t>
  </si>
  <si>
    <t>Tasto apertura</t>
  </si>
  <si>
    <t>Manopola regolazione</t>
  </si>
  <si>
    <t>ASS'Y DOOR Hyundai brand</t>
  </si>
  <si>
    <t>17470000A02419</t>
  </si>
  <si>
    <t>11002014000754 or 11002014000070 or 11002014000037</t>
  </si>
  <si>
    <t>Order 2021-1</t>
  </si>
  <si>
    <t>MWWE30103</t>
  </si>
  <si>
    <t xml:space="preserve">230V LED light </t>
  </si>
  <si>
    <t>LAMPADINA LED</t>
  </si>
  <si>
    <r>
      <t>1</t>
    </r>
    <r>
      <rPr>
        <b/>
        <sz val="10"/>
        <color rgb="FFFF0000"/>
        <rFont val="Arial"/>
        <family val="2"/>
      </rPr>
      <t>+1</t>
    </r>
  </si>
  <si>
    <t>Order 2021-2</t>
  </si>
  <si>
    <t>EAN code</t>
  </si>
  <si>
    <t>barcode ( N, 1, Q )</t>
  </si>
  <si>
    <t>2000000040370</t>
  </si>
  <si>
    <t>2000000040387</t>
  </si>
  <si>
    <t>2000000040394</t>
  </si>
  <si>
    <t>2000000040400</t>
  </si>
  <si>
    <t>2000000040417</t>
  </si>
  <si>
    <t>2000000040424</t>
  </si>
  <si>
    <t>2000000040431</t>
  </si>
  <si>
    <t>2000000040448</t>
  </si>
  <si>
    <t>2000000040455</t>
  </si>
  <si>
    <t>2000000040462</t>
  </si>
  <si>
    <t>2000000040479</t>
  </si>
  <si>
    <t>Q</t>
  </si>
  <si>
    <t>2000000040486</t>
  </si>
  <si>
    <t>2000000040493</t>
  </si>
  <si>
    <t>2000000040509</t>
  </si>
  <si>
    <t>2000000040516</t>
  </si>
  <si>
    <t>2000000040523</t>
  </si>
  <si>
    <t>2000000040530</t>
  </si>
  <si>
    <t>2000000040547</t>
  </si>
  <si>
    <t>2000000040554</t>
  </si>
  <si>
    <t>2000000040561</t>
  </si>
  <si>
    <t>2000000040592</t>
  </si>
  <si>
    <t>2000000040578</t>
  </si>
  <si>
    <t>2000000040585</t>
  </si>
  <si>
    <t>2000000040608</t>
  </si>
  <si>
    <t>2000000040615</t>
  </si>
  <si>
    <t>2000000040622</t>
  </si>
  <si>
    <t>2000000040639</t>
  </si>
  <si>
    <t>2000000040646</t>
  </si>
  <si>
    <t>2000000040653</t>
  </si>
  <si>
    <t>2000000040660</t>
  </si>
  <si>
    <t>2000000040677</t>
  </si>
  <si>
    <t>2000000040684</t>
  </si>
  <si>
    <t>2000000040691</t>
  </si>
  <si>
    <t>2000000040707</t>
  </si>
  <si>
    <t>2000000040714</t>
  </si>
  <si>
    <t>2000000040721</t>
  </si>
  <si>
    <t>2000000040790</t>
  </si>
  <si>
    <t>2000000040738</t>
  </si>
  <si>
    <t>2000000040745</t>
  </si>
  <si>
    <t>2000000040752</t>
  </si>
  <si>
    <t>2000000040769</t>
  </si>
  <si>
    <t>2000000040776</t>
  </si>
  <si>
    <t>2000000040783</t>
  </si>
  <si>
    <t>2000000040806</t>
  </si>
  <si>
    <t>2000000040813</t>
  </si>
  <si>
    <t>2000000040820</t>
  </si>
  <si>
    <t>2000000040837</t>
  </si>
  <si>
    <t>2000000040844</t>
  </si>
  <si>
    <t>2000000040851</t>
  </si>
  <si>
    <t>2000000040868</t>
  </si>
  <si>
    <t>2000000040875</t>
  </si>
  <si>
    <t>2000000040882</t>
  </si>
  <si>
    <t>2000000040899</t>
  </si>
  <si>
    <t>2000000040905</t>
  </si>
  <si>
    <t>2000000040912</t>
  </si>
  <si>
    <t>2000000040929</t>
  </si>
  <si>
    <t>2000000040936</t>
  </si>
  <si>
    <t>2000000040943</t>
  </si>
  <si>
    <t>2000000040950</t>
  </si>
  <si>
    <t>2000000040967</t>
  </si>
  <si>
    <t>2000000040974</t>
  </si>
  <si>
    <t>2000000040981</t>
  </si>
  <si>
    <t>2000000040998</t>
  </si>
  <si>
    <t>2000000041001</t>
  </si>
  <si>
    <t>2000000041018</t>
  </si>
  <si>
    <t>2000000041025</t>
  </si>
  <si>
    <t>2000000041032</t>
  </si>
  <si>
    <t>2000000041049</t>
  </si>
  <si>
    <t>2000000041056</t>
  </si>
  <si>
    <t>2000000041063</t>
  </si>
  <si>
    <t>2000000041070</t>
  </si>
  <si>
    <t>2000000041087</t>
  </si>
  <si>
    <t>2000000041094</t>
  </si>
  <si>
    <t>2000000041100</t>
  </si>
  <si>
    <t>2000000041117</t>
  </si>
  <si>
    <t>2000000041148</t>
  </si>
  <si>
    <t>2000000041124</t>
  </si>
  <si>
    <t>2000000041131</t>
  </si>
  <si>
    <t>2000000041155</t>
  </si>
  <si>
    <t>2000000041162</t>
  </si>
  <si>
    <t>2000000041179</t>
  </si>
  <si>
    <t>2000000041186</t>
  </si>
  <si>
    <t>2000000050904</t>
  </si>
  <si>
    <r>
      <t>22</t>
    </r>
    <r>
      <rPr>
        <b/>
        <sz val="10"/>
        <color rgb="FFFF0000"/>
        <rFont val="Arial"/>
        <family val="2"/>
      </rPr>
      <t>+4</t>
    </r>
  </si>
  <si>
    <t>200+20</t>
  </si>
  <si>
    <t>12270000B37316 + 12570000A32028</t>
  </si>
  <si>
    <t>Tot. ORD 2020</t>
  </si>
  <si>
    <r>
      <t>5</t>
    </r>
    <r>
      <rPr>
        <b/>
        <sz val="10"/>
        <color rgb="FFFF0000"/>
        <rFont val="Arial"/>
        <family val="2"/>
      </rPr>
      <t>+2</t>
    </r>
  </si>
  <si>
    <r>
      <t>2</t>
    </r>
    <r>
      <rPr>
        <b/>
        <sz val="10"/>
        <color rgb="FFFF0000"/>
        <rFont val="Arial"/>
        <family val="2"/>
      </rPr>
      <t>+2</t>
    </r>
  </si>
  <si>
    <t>17+50</t>
  </si>
  <si>
    <t>ME208BG</t>
  </si>
  <si>
    <t>ME187S</t>
  </si>
  <si>
    <t>ME187SN</t>
  </si>
  <si>
    <t>MMP012LV-PB0E0M</t>
  </si>
  <si>
    <r>
      <t>PIATTO</t>
    </r>
    <r>
      <rPr>
        <sz val="10"/>
        <color rgb="FF0000FF"/>
        <rFont val="Arial"/>
        <family val="2"/>
      </rPr>
      <t xml:space="preserve"> 18L</t>
    </r>
  </si>
  <si>
    <t>Glass Turntable</t>
  </si>
  <si>
    <t>MWWAC0105</t>
  </si>
  <si>
    <r>
      <t xml:space="preserve">SUPPORTO GIREVOLE PIATTO </t>
    </r>
    <r>
      <rPr>
        <sz val="10"/>
        <color rgb="FF0000FF"/>
        <rFont val="Arial"/>
        <family val="2"/>
      </rPr>
      <t>18 L</t>
    </r>
  </si>
  <si>
    <t>MWWAC0204</t>
  </si>
  <si>
    <t>Foot</t>
  </si>
  <si>
    <t>MWWCA0204</t>
  </si>
  <si>
    <t>Manopola timer</t>
  </si>
  <si>
    <t>MWWCA0205</t>
  </si>
  <si>
    <t>MWWCA0120</t>
  </si>
  <si>
    <t>20</t>
  </si>
  <si>
    <t>MWWE10103</t>
  </si>
  <si>
    <t>ASS'Y H.V.tTransformer</t>
  </si>
  <si>
    <t>MWWE30706</t>
  </si>
  <si>
    <t>MWWE20108</t>
  </si>
  <si>
    <t>Noise Fliter Assembly</t>
  </si>
  <si>
    <t>MWWE30104</t>
  </si>
  <si>
    <t>Integrated Lamp</t>
  </si>
  <si>
    <t>LAMPADINA</t>
  </si>
  <si>
    <t>Timer Switch</t>
  </si>
  <si>
    <t>gruppo CONTROLLI con Timer 18L</t>
  </si>
  <si>
    <t>Thermostat 160/0℃</t>
  </si>
  <si>
    <r>
      <t xml:space="preserve">TERMOSTATO MAGN. </t>
    </r>
    <r>
      <rPr>
        <sz val="10"/>
        <color rgb="FF0000FF"/>
        <rFont val="Arial"/>
        <family val="2"/>
      </rPr>
      <t>(160/00)</t>
    </r>
  </si>
  <si>
    <t>MWWE31004</t>
  </si>
  <si>
    <t>MWWE30303</t>
  </si>
  <si>
    <t>MWWME0103</t>
  </si>
  <si>
    <t>Fan Assembly</t>
  </si>
  <si>
    <r>
      <t xml:space="preserve">VENTOLA </t>
    </r>
    <r>
      <rPr>
        <sz val="10"/>
        <color rgb="FF0000FF"/>
        <rFont val="Arial"/>
        <family val="2"/>
      </rPr>
      <t>18L</t>
    </r>
  </si>
  <si>
    <t>MWWME0203</t>
  </si>
  <si>
    <t>MWWE31208</t>
  </si>
  <si>
    <t>ASS'Y INTERLOCK  (MMP012LV-PB0E0M)</t>
  </si>
  <si>
    <t>12170000003378 + 12170000007320 + 17470000008423(*2) + 17470000008424</t>
  </si>
  <si>
    <t>Door Assembly white</t>
  </si>
  <si>
    <t>Timer Knob white</t>
  </si>
  <si>
    <t>Timer Knob black</t>
  </si>
  <si>
    <t>MWWCA0206</t>
  </si>
  <si>
    <t>12270000B68028+12570000A25961</t>
  </si>
  <si>
    <t>Door Assembly (ME208BG)</t>
  </si>
  <si>
    <t>22</t>
  </si>
  <si>
    <t>MWWCA0122</t>
  </si>
  <si>
    <t>q</t>
  </si>
  <si>
    <r>
      <t xml:space="preserve">17170000002941 or </t>
    </r>
    <r>
      <rPr>
        <b/>
        <sz val="10"/>
        <color rgb="FF0000FF"/>
        <rFont val="Arial"/>
        <family val="2"/>
      </rPr>
      <t>17170000002979</t>
    </r>
  </si>
  <si>
    <t>MWWE30105</t>
  </si>
  <si>
    <r>
      <rPr>
        <b/>
        <sz val="10"/>
        <color rgb="FF0000FF"/>
        <rFont val="Arial"/>
        <family val="2"/>
      </rPr>
      <t>17470000009109</t>
    </r>
    <r>
      <rPr>
        <sz val="10"/>
        <color rgb="FF0000FF"/>
        <rFont val="Arial"/>
        <family val="2"/>
      </rPr>
      <t xml:space="preserve"> or 17470000001542</t>
    </r>
  </si>
  <si>
    <t>MWWCA0207</t>
  </si>
  <si>
    <t>Dial Knob</t>
  </si>
  <si>
    <t>MWWE20309</t>
  </si>
  <si>
    <t>PO 2022-2</t>
  </si>
  <si>
    <t>PO 2022-1 (TCU TRHU5054462)</t>
  </si>
  <si>
    <t>delivery list</t>
  </si>
  <si>
    <r>
      <rPr>
        <b/>
        <sz val="10"/>
        <color rgb="FF0000FF"/>
        <rFont val="Arial"/>
        <family val="2"/>
      </rPr>
      <t>5</t>
    </r>
    <r>
      <rPr>
        <b/>
        <sz val="10"/>
        <rFont val="Arial"/>
        <family val="2"/>
      </rPr>
      <t>+</t>
    </r>
    <r>
      <rPr>
        <b/>
        <sz val="10"/>
        <color rgb="FFFF0000"/>
        <rFont val="Arial"/>
        <family val="2"/>
      </rPr>
      <t>5</t>
    </r>
  </si>
  <si>
    <t>PMWCA022</t>
  </si>
  <si>
    <t>MWWCA0208</t>
  </si>
  <si>
    <t>PO 2023-1</t>
  </si>
  <si>
    <t>MWWE20310</t>
  </si>
  <si>
    <t>Key-Press Board</t>
  </si>
  <si>
    <t>SCHEDA PULSANTE</t>
  </si>
  <si>
    <t>SM823AGN</t>
  </si>
  <si>
    <t>MG823AGN-P00E00</t>
  </si>
  <si>
    <t>MWWAC0106</t>
  </si>
  <si>
    <t>MWWAC0304</t>
  </si>
  <si>
    <t>Door Assembly (MG823AGN-P00E00)</t>
  </si>
  <si>
    <t>12270000B71959+12570000A39635</t>
  </si>
  <si>
    <t>MWWCA0123</t>
  </si>
  <si>
    <t>23</t>
  </si>
  <si>
    <t>Timer Knob</t>
  </si>
  <si>
    <t>MWWCA0209</t>
  </si>
  <si>
    <t>MWWE31104</t>
  </si>
  <si>
    <t>ASS'Y INTERLOCK (MG823AGN-P00E00)</t>
  </si>
  <si>
    <t>ASS'Y INTERLOCK (MG823ECI)</t>
  </si>
  <si>
    <t>MWWE31209</t>
  </si>
  <si>
    <t>16270000A83906</t>
  </si>
  <si>
    <t>Imballo</t>
  </si>
  <si>
    <t>AC04</t>
  </si>
  <si>
    <t>MWWAC0401</t>
  </si>
  <si>
    <t>WM823AGN</t>
  </si>
  <si>
    <t>MWWCA0124</t>
  </si>
  <si>
    <t>24</t>
  </si>
  <si>
    <t>12270000B71959+12570000004086</t>
  </si>
  <si>
    <t xml:space="preserve">FM20GW </t>
  </si>
  <si>
    <t>MG720CPW</t>
  </si>
  <si>
    <t>12270000B57452</t>
  </si>
  <si>
    <t>Door Assembly (MG720CPW)</t>
  </si>
  <si>
    <t>25</t>
  </si>
  <si>
    <t>MWWCA0125</t>
  </si>
  <si>
    <t>MWWCA0210</t>
  </si>
  <si>
    <t>Timer Knob + Cover</t>
  </si>
  <si>
    <t>12170000009002 + 12170000008711</t>
  </si>
  <si>
    <t>Thermostat 160/95℃</t>
  </si>
  <si>
    <t>MWWE31005</t>
  </si>
  <si>
    <t>MWWME0104</t>
  </si>
  <si>
    <t>MWWME0204</t>
  </si>
  <si>
    <t>FM20GBK</t>
  </si>
  <si>
    <t>12270000B72046</t>
  </si>
  <si>
    <t>26</t>
  </si>
  <si>
    <t>MWWCA0126</t>
  </si>
  <si>
    <t>MWWCA0211</t>
  </si>
  <si>
    <t>12170000008850 + 12170000008733</t>
  </si>
  <si>
    <t>TFMG720CPW</t>
  </si>
  <si>
    <t>TFMG720CPK</t>
  </si>
  <si>
    <t>PO 2023-2</t>
  </si>
  <si>
    <t>MWWAC0402</t>
  </si>
  <si>
    <t>MWWAC0403</t>
  </si>
  <si>
    <t>MWWAC0405</t>
  </si>
  <si>
    <t>Gift Box SM823AGN</t>
  </si>
  <si>
    <t>Gift Box WM823AGN</t>
  </si>
  <si>
    <t xml:space="preserve">Gift Box FM20GW </t>
  </si>
  <si>
    <t>Gift Box FM20GBK</t>
  </si>
  <si>
    <t>PMWCA021</t>
  </si>
  <si>
    <t>prezzo EURO al CAT con trasporto - NO iva - NETTO</t>
  </si>
  <si>
    <t>prezzo EURO al PUBBLICO (suggerito) con IVA</t>
  </si>
  <si>
    <t>CIPU5209881</t>
  </si>
  <si>
    <t>16270000A83985</t>
  </si>
  <si>
    <t>FFAU1707520</t>
  </si>
  <si>
    <t>PO 2023-3</t>
  </si>
  <si>
    <t xml:space="preserve">MG820C2MT </t>
  </si>
  <si>
    <t>ME208MTN</t>
  </si>
  <si>
    <t>ME208MTS</t>
  </si>
  <si>
    <t>Gift Box ME208MTN</t>
  </si>
  <si>
    <t>Gift Box ME208MTS</t>
  </si>
  <si>
    <t>MWWAC0406</t>
  </si>
  <si>
    <t>MWWAC0407</t>
  </si>
  <si>
    <t>16270000A85439</t>
  </si>
  <si>
    <t>16270000A85426</t>
  </si>
  <si>
    <t>27</t>
  </si>
  <si>
    <t>28</t>
  </si>
  <si>
    <t>MWWCA0127</t>
  </si>
  <si>
    <t>MWWCA0128</t>
  </si>
  <si>
    <t>Door Assembly (ME208MTN)</t>
  </si>
  <si>
    <t>Door Assembly (ME208MTS)</t>
  </si>
  <si>
    <t>12270000B73400</t>
  </si>
  <si>
    <t>12270000B73397</t>
  </si>
  <si>
    <t>MWWCA0212</t>
  </si>
  <si>
    <t>MWWCA0213</t>
  </si>
  <si>
    <t>12170000040653 + 12170000A38651</t>
  </si>
  <si>
    <t>12170000040653 + 12170000A38339</t>
  </si>
  <si>
    <t>ME258KFN</t>
  </si>
  <si>
    <t xml:space="preserve">AG9P022KF(2KP) </t>
  </si>
  <si>
    <t>Quartz Heater</t>
  </si>
  <si>
    <t>MWWE30903</t>
  </si>
  <si>
    <t>16270000A85427</t>
  </si>
  <si>
    <t>MWWAC0408</t>
  </si>
  <si>
    <t>Gift Box ME258KFN</t>
  </si>
  <si>
    <t>12270000B73131+12570000012631</t>
  </si>
  <si>
    <t>29</t>
  </si>
  <si>
    <t>MWWCA0129</t>
  </si>
  <si>
    <t>Door Assembly (ME258KFN)</t>
  </si>
  <si>
    <t>MWWE10104</t>
  </si>
  <si>
    <t>MWWE30605</t>
  </si>
  <si>
    <t>MWWE31105</t>
  </si>
  <si>
    <t>MWWE31006</t>
  </si>
  <si>
    <t>Thermostat 180/145℃</t>
  </si>
  <si>
    <r>
      <t xml:space="preserve">TERMOSTATO MAGN. </t>
    </r>
    <r>
      <rPr>
        <sz val="10"/>
        <color rgb="FF0000FF"/>
        <rFont val="Arial"/>
        <family val="2"/>
      </rPr>
      <t>(180/145)</t>
    </r>
  </si>
  <si>
    <t>Heater Assembly</t>
  </si>
  <si>
    <t>MWWE30803</t>
  </si>
  <si>
    <r>
      <t>VENTOLA 25</t>
    </r>
    <r>
      <rPr>
        <sz val="10"/>
        <color rgb="FF0000FF"/>
        <rFont val="Arial"/>
        <family val="2"/>
      </rPr>
      <t>L</t>
    </r>
  </si>
  <si>
    <t>Fan Blade</t>
  </si>
  <si>
    <t>MWWME0205</t>
  </si>
  <si>
    <t>MWWAC0205</t>
  </si>
  <si>
    <t>MWWE20209</t>
  </si>
  <si>
    <t>Control PCB Assembly</t>
  </si>
  <si>
    <t>17270000B88951+16070000B64121</t>
  </si>
  <si>
    <t>MWWE31210</t>
  </si>
  <si>
    <t>TCNU6071141</t>
  </si>
  <si>
    <t>PO 2023-4</t>
  </si>
  <si>
    <t>NMM20PGK</t>
  </si>
  <si>
    <t>FM25GKD</t>
  </si>
  <si>
    <t>AG9P022XT</t>
  </si>
  <si>
    <t>MWHN20W</t>
  </si>
  <si>
    <t>MWHN20B</t>
  </si>
  <si>
    <t>MWHN20WG</t>
  </si>
  <si>
    <t>MWHN20BG</t>
  </si>
  <si>
    <t>MM720CPW</t>
  </si>
  <si>
    <t>Gift Box NMM20PGK</t>
  </si>
  <si>
    <t>MWWAC0409</t>
  </si>
  <si>
    <t>MWWAC0410</t>
  </si>
  <si>
    <t>Gift Box MWHN20WG</t>
  </si>
  <si>
    <t>MWWCA0130</t>
  </si>
  <si>
    <t>30</t>
  </si>
  <si>
    <t>12270000B11118+12570000A41909</t>
  </si>
  <si>
    <t>MWWCA0131</t>
  </si>
  <si>
    <t>12270000B46370</t>
  </si>
  <si>
    <t>ASS'Y DOOR</t>
  </si>
  <si>
    <t>31</t>
  </si>
  <si>
    <t>MWWCA0132</t>
  </si>
  <si>
    <t>32</t>
  </si>
  <si>
    <t>Door Assembly</t>
  </si>
  <si>
    <t>12270000B64218+12570000A41909</t>
  </si>
  <si>
    <t>Interlock Assembly</t>
  </si>
  <si>
    <t>MWWE31211</t>
  </si>
  <si>
    <t>Shaded-Pole Motor</t>
  </si>
  <si>
    <t>MWWE30204</t>
  </si>
  <si>
    <t>MWWAC0411</t>
  </si>
  <si>
    <t>Gift Box MWHN20W</t>
  </si>
  <si>
    <t>33</t>
  </si>
  <si>
    <t>MWWCA0133</t>
  </si>
  <si>
    <t>12270000B70605+12570000A41909</t>
  </si>
  <si>
    <t>Gift Box MWHN20B</t>
  </si>
  <si>
    <t>MWWAC0412</t>
  </si>
  <si>
    <t>MWWAC0413</t>
  </si>
  <si>
    <t>MWWAC0414</t>
  </si>
  <si>
    <t>Gift Box MWHN20BG</t>
  </si>
  <si>
    <t>Gift Box FM25GKD</t>
  </si>
  <si>
    <t>MWWCA0134</t>
  </si>
  <si>
    <t>12270000B75421+12570000015894</t>
  </si>
  <si>
    <t>12170000043078 + 12170000036897</t>
  </si>
  <si>
    <t>Dial Knob + Knob cover</t>
  </si>
  <si>
    <t>MWWCA0214</t>
  </si>
  <si>
    <t>Display Assembly</t>
  </si>
  <si>
    <t>MWWE20211</t>
  </si>
  <si>
    <t>SCHEDA CONTROLLO</t>
  </si>
  <si>
    <t>PULSANTIERA</t>
  </si>
  <si>
    <t>Button Knob Plate</t>
  </si>
  <si>
    <t>Program Chip</t>
  </si>
  <si>
    <t>MWWE20212</t>
  </si>
  <si>
    <t>MWWE20213</t>
  </si>
  <si>
    <t>MWWCA0215</t>
  </si>
  <si>
    <t>Button</t>
  </si>
  <si>
    <t>Pulsanti plastica</t>
  </si>
  <si>
    <t>SM720CP</t>
  </si>
  <si>
    <t>SMG720CPW</t>
  </si>
  <si>
    <t>SMG720CPK</t>
  </si>
  <si>
    <t>CRMW210B</t>
  </si>
  <si>
    <t>CRMW220N</t>
  </si>
  <si>
    <t>WMG720CPW</t>
  </si>
  <si>
    <t>WMG720CPK</t>
  </si>
  <si>
    <t>WM820ENG1</t>
  </si>
  <si>
    <t>price USD 2024</t>
  </si>
  <si>
    <t>PO 2024.1</t>
  </si>
  <si>
    <t>12270000B76827</t>
  </si>
  <si>
    <t>17470000A01685</t>
  </si>
  <si>
    <t>MWWE31007</t>
  </si>
  <si>
    <t>34</t>
  </si>
  <si>
    <t>35</t>
  </si>
  <si>
    <t>MWWCA0135</t>
  </si>
  <si>
    <t>12270000B78367</t>
  </si>
  <si>
    <t>12270000B78332</t>
  </si>
  <si>
    <t>36</t>
  </si>
  <si>
    <t>MWWCA0136</t>
  </si>
  <si>
    <t>37</t>
  </si>
  <si>
    <t>MWWCA0137</t>
  </si>
  <si>
    <t>12170000008991 + 12170000008774</t>
  </si>
  <si>
    <t>MWWCA0216</t>
  </si>
  <si>
    <t>12270000B72209 + 12570000A02614</t>
  </si>
  <si>
    <r>
      <t xml:space="preserve">17170000006442 or </t>
    </r>
    <r>
      <rPr>
        <b/>
        <sz val="10"/>
        <color rgb="FF0000FF"/>
        <rFont val="Arial"/>
        <family val="2"/>
      </rPr>
      <t>17170000000393</t>
    </r>
    <r>
      <rPr>
        <sz val="10"/>
        <color rgb="FF0000FF"/>
        <rFont val="Arial"/>
        <family val="2"/>
      </rPr>
      <t xml:space="preserve"> + 17170000004738</t>
    </r>
  </si>
  <si>
    <t>MWWE20214</t>
  </si>
  <si>
    <t>PO 2024.2</t>
  </si>
  <si>
    <t>MG720CPWB</t>
  </si>
  <si>
    <t>SLSU8041964</t>
  </si>
  <si>
    <t>TIIU4355805</t>
  </si>
  <si>
    <t>PO 2024.3</t>
  </si>
  <si>
    <t>MWWAC0107</t>
  </si>
  <si>
    <t>1</t>
  </si>
  <si>
    <t>2</t>
  </si>
  <si>
    <t>12270000B82306</t>
  </si>
  <si>
    <t>38</t>
  </si>
  <si>
    <t>MWWCA0138</t>
  </si>
  <si>
    <t>MWWCA0217</t>
  </si>
  <si>
    <t>MG720CT5-PM0E00</t>
  </si>
  <si>
    <t>Molla</t>
  </si>
  <si>
    <t>Spring</t>
  </si>
  <si>
    <t>MWWCA0218</t>
  </si>
  <si>
    <t>PO 2024.4</t>
  </si>
  <si>
    <r>
      <t>10</t>
    </r>
    <r>
      <rPr>
        <sz val="10"/>
        <color rgb="FFFF0000"/>
        <rFont val="Arial"/>
        <family val="2"/>
      </rPr>
      <t>+10</t>
    </r>
  </si>
  <si>
    <t>20+40</t>
  </si>
  <si>
    <t>CAIU7585394 + MSDU6201487</t>
  </si>
  <si>
    <t>CAAU5573832</t>
  </si>
  <si>
    <t>CCLU7482760</t>
  </si>
  <si>
    <t>PO 2025.1</t>
  </si>
  <si>
    <t>BL CCFGZGOA2502589</t>
  </si>
  <si>
    <t>PO 2025.2</t>
  </si>
  <si>
    <t>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</si>
</sst>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_ ;\-#,##0\ "/>
    <numFmt numFmtId="166" formatCode="_-[$$-409]* #,##0.00_ ;_-[$$-409]* \-#,##0.00\ ;_-[$$-409]* &quot;-&quot;??_ ;_-@_ "/>
  </numFmts>
  <fonts count="4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3F3F7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b/>
      <sz val="10"/>
      <color rgb="FFFF0000"/>
      <name val="Arial"/>
      <family val="2"/>
    </font>
    <font>
      <sz val="10"/>
      <name val="Helv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9900CC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  <font>
      <sz val="10"/>
      <color rgb="FF9900CC"/>
      <name val="Arial"/>
      <family val="2"/>
    </font>
    <font>
      <sz val="10"/>
      <color theme="4" tint="0.39997558519241921"/>
      <name val="Arial"/>
      <family val="2"/>
    </font>
    <font>
      <b/>
      <sz val="10"/>
      <color theme="4" tint="0.39997558519241921"/>
      <name val="Arial"/>
      <family val="2"/>
    </font>
    <font>
      <sz val="10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sz val="11"/>
      <color theme="1"/>
      <name val="Calibri"/>
      <family val="2"/>
      <scheme val="minor"/>
    </font>
    <font>
      <b/>
      <sz val="10"/>
      <color theme="9" tint="-0.499984740745262"/>
      <name val="Arial"/>
      <family val="2"/>
    </font>
    <font>
      <u/>
      <sz val="10"/>
      <color rgb="FFFF0000"/>
      <name val="Arial"/>
      <family val="2"/>
    </font>
    <font>
      <sz val="10"/>
      <color theme="9" tint="-0.499984740745262"/>
      <name val="Arial"/>
      <family val="2"/>
    </font>
    <font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3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4" fillId="5" borderId="4" applyNumberFormat="0" applyAlignment="0" applyProtection="0"/>
    <xf numFmtId="0" fontId="15" fillId="4" borderId="0" applyNumberFormat="0" applyBorder="0" applyAlignment="0" applyProtection="0"/>
    <xf numFmtId="0" fontId="8" fillId="8" borderId="8" applyNumberFormat="0" applyFont="0" applyAlignment="0" applyProtection="0"/>
    <xf numFmtId="0" fontId="16" fillId="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3" borderId="0" applyNumberFormat="0" applyBorder="0" applyAlignment="0" applyProtection="0"/>
    <xf numFmtId="0" fontId="24" fillId="2" borderId="0" applyNumberFormat="0" applyBorder="0" applyAlignment="0" applyProtection="0"/>
    <xf numFmtId="0" fontId="26" fillId="0" borderId="0"/>
    <xf numFmtId="164" fontId="40" fillId="0" borderId="0" applyFont="0" applyFill="0" applyBorder="0" applyAlignment="0" applyProtection="0"/>
  </cellStyleXfs>
  <cellXfs count="306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0" applyFont="1"/>
    <xf numFmtId="49" fontId="17" fillId="0" borderId="0" xfId="0" applyNumberFormat="1" applyFont="1"/>
    <xf numFmtId="0" fontId="9" fillId="0" borderId="0" xfId="0" applyFont="1"/>
    <xf numFmtId="0" fontId="17" fillId="0" borderId="1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19" xfId="0" applyFont="1" applyBorder="1" applyAlignment="1">
      <alignment vertical="top" wrapText="1"/>
    </xf>
    <xf numFmtId="0" fontId="25" fillId="0" borderId="19" xfId="0" applyFont="1" applyBorder="1" applyAlignment="1">
      <alignment vertical="top"/>
    </xf>
    <xf numFmtId="0" fontId="25" fillId="0" borderId="19" xfId="0" applyFont="1" applyBorder="1" applyAlignment="1">
      <alignment vertical="top" wrapText="1"/>
    </xf>
    <xf numFmtId="0" fontId="17" fillId="0" borderId="16" xfId="0" applyFont="1" applyBorder="1"/>
    <xf numFmtId="0" fontId="32" fillId="0" borderId="15" xfId="0" applyFont="1" applyBorder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1" fontId="32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5" fillId="36" borderId="1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32" fillId="0" borderId="11" xfId="0" applyNumberFormat="1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3" borderId="15" xfId="0" applyFont="1" applyFill="1" applyBorder="1" applyAlignment="1">
      <alignment horizontal="center" vertical="center"/>
    </xf>
    <xf numFmtId="1" fontId="32" fillId="33" borderId="16" xfId="0" applyNumberFormat="1" applyFont="1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39" borderId="0" xfId="0" applyFont="1" applyFill="1" applyAlignment="1">
      <alignment vertical="center"/>
    </xf>
    <xf numFmtId="1" fontId="32" fillId="39" borderId="0" xfId="0" applyNumberFormat="1" applyFont="1" applyFill="1" applyAlignment="1">
      <alignment vertical="center"/>
    </xf>
    <xf numFmtId="0" fontId="17" fillId="39" borderId="0" xfId="0" applyFont="1" applyFill="1"/>
    <xf numFmtId="1" fontId="32" fillId="0" borderId="16" xfId="0" applyNumberFormat="1" applyFont="1" applyBorder="1" applyAlignment="1">
      <alignment vertical="center"/>
    </xf>
    <xf numFmtId="1" fontId="32" fillId="0" borderId="19" xfId="0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6" borderId="16" xfId="0" applyFont="1" applyFill="1" applyBorder="1" applyAlignment="1">
      <alignment horizontal="center" vertical="center"/>
    </xf>
    <xf numFmtId="0" fontId="5" fillId="36" borderId="18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33" borderId="14" xfId="0" applyFont="1" applyFill="1" applyBorder="1" applyAlignment="1">
      <alignment horizontal="center" vertical="center"/>
    </xf>
    <xf numFmtId="0" fontId="5" fillId="36" borderId="17" xfId="0" applyFont="1" applyFill="1" applyBorder="1" applyAlignment="1">
      <alignment horizontal="center" vertical="center"/>
    </xf>
    <xf numFmtId="0" fontId="17" fillId="0" borderId="19" xfId="0" applyFont="1" applyBorder="1"/>
    <xf numFmtId="0" fontId="5" fillId="0" borderId="1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" fontId="17" fillId="33" borderId="0" xfId="0" applyNumberFormat="1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33" borderId="0" xfId="0" applyFont="1" applyFill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3" fillId="35" borderId="21" xfId="0" applyFont="1" applyFill="1" applyBorder="1" applyAlignment="1">
      <alignment vertical="center"/>
    </xf>
    <xf numFmtId="0" fontId="28" fillId="35" borderId="22" xfId="0" applyFont="1" applyFill="1" applyBorder="1" applyAlignment="1">
      <alignment vertical="center" wrapText="1"/>
    </xf>
    <xf numFmtId="0" fontId="3" fillId="0" borderId="14" xfId="0" applyFont="1" applyBorder="1"/>
    <xf numFmtId="0" fontId="9" fillId="0" borderId="0" xfId="0" applyFont="1" applyAlignment="1">
      <alignment vertical="center"/>
    </xf>
    <xf numFmtId="0" fontId="3" fillId="0" borderId="17" xfId="0" applyFont="1" applyBorder="1"/>
    <xf numFmtId="0" fontId="9" fillId="0" borderId="16" xfId="0" applyFont="1" applyBorder="1" applyAlignment="1">
      <alignment vertical="center"/>
    </xf>
    <xf numFmtId="0" fontId="3" fillId="39" borderId="14" xfId="0" applyFont="1" applyFill="1" applyBorder="1"/>
    <xf numFmtId="0" fontId="3" fillId="34" borderId="14" xfId="0" applyFont="1" applyFill="1" applyBorder="1"/>
    <xf numFmtId="0" fontId="9" fillId="34" borderId="0" xfId="0" applyFont="1" applyFill="1" applyAlignment="1">
      <alignment vertical="center"/>
    </xf>
    <xf numFmtId="0" fontId="33" fillId="0" borderId="0" xfId="0" applyFont="1" applyAlignment="1">
      <alignment horizontal="left" vertical="top" wrapText="1"/>
    </xf>
    <xf numFmtId="0" fontId="34" fillId="0" borderId="19" xfId="0" applyFont="1" applyBorder="1" applyAlignment="1">
      <alignment vertical="top"/>
    </xf>
    <xf numFmtId="0" fontId="33" fillId="0" borderId="0" xfId="0" applyFont="1"/>
    <xf numFmtId="0" fontId="33" fillId="0" borderId="11" xfId="0" applyFont="1" applyBorder="1"/>
    <xf numFmtId="0" fontId="33" fillId="0" borderId="16" xfId="0" applyFont="1" applyBorder="1"/>
    <xf numFmtId="0" fontId="33" fillId="39" borderId="0" xfId="0" applyFont="1" applyFill="1"/>
    <xf numFmtId="0" fontId="33" fillId="0" borderId="19" xfId="0" applyFont="1" applyBorder="1"/>
    <xf numFmtId="0" fontId="33" fillId="0" borderId="0" xfId="0" applyFont="1" applyAlignment="1">
      <alignment vertical="center"/>
    </xf>
    <xf numFmtId="49" fontId="33" fillId="0" borderId="0" xfId="0" applyNumberFormat="1" applyFont="1"/>
    <xf numFmtId="49" fontId="33" fillId="0" borderId="11" xfId="0" applyNumberFormat="1" applyFont="1" applyBorder="1"/>
    <xf numFmtId="49" fontId="33" fillId="0" borderId="16" xfId="0" applyNumberFormat="1" applyFont="1" applyBorder="1"/>
    <xf numFmtId="49" fontId="33" fillId="39" borderId="0" xfId="0" applyNumberFormat="1" applyFont="1" applyFill="1"/>
    <xf numFmtId="49" fontId="33" fillId="0" borderId="19" xfId="0" applyNumberFormat="1" applyFont="1" applyBorder="1"/>
    <xf numFmtId="0" fontId="5" fillId="39" borderId="0" xfId="0" applyFont="1" applyFill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8" borderId="11" xfId="0" applyFont="1" applyFill="1" applyBorder="1" applyAlignment="1">
      <alignment horizontal="center" vertical="center"/>
    </xf>
    <xf numFmtId="0" fontId="9" fillId="38" borderId="19" xfId="0" applyFont="1" applyFill="1" applyBorder="1" applyAlignment="1">
      <alignment horizontal="center" vertical="center"/>
    </xf>
    <xf numFmtId="0" fontId="6" fillId="39" borderId="0" xfId="0" applyFont="1" applyFill="1" applyAlignment="1">
      <alignment horizontal="left" vertical="top" wrapText="1"/>
    </xf>
    <xf numFmtId="1" fontId="17" fillId="0" borderId="14" xfId="0" applyNumberFormat="1" applyFont="1" applyBorder="1" applyAlignment="1">
      <alignment horizontal="center" vertical="center"/>
    </xf>
    <xf numFmtId="0" fontId="5" fillId="39" borderId="15" xfId="0" applyFont="1" applyFill="1" applyBorder="1" applyAlignment="1">
      <alignment horizontal="left" vertical="top" wrapText="1"/>
    </xf>
    <xf numFmtId="0" fontId="32" fillId="39" borderId="0" xfId="0" applyFont="1" applyFill="1" applyAlignment="1">
      <alignment horizontal="left" vertical="top" wrapText="1"/>
    </xf>
    <xf numFmtId="0" fontId="32" fillId="35" borderId="19" xfId="0" applyFont="1" applyFill="1" applyBorder="1" applyAlignment="1">
      <alignment vertical="top" wrapText="1"/>
    </xf>
    <xf numFmtId="0" fontId="1" fillId="0" borderId="0" xfId="0" applyFont="1"/>
    <xf numFmtId="0" fontId="35" fillId="0" borderId="0" xfId="0" applyFont="1" applyAlignment="1">
      <alignment horizontal="left" vertical="top" wrapText="1"/>
    </xf>
    <xf numFmtId="0" fontId="35" fillId="0" borderId="0" xfId="0" applyFont="1"/>
    <xf numFmtId="0" fontId="35" fillId="0" borderId="11" xfId="0" applyFont="1" applyBorder="1"/>
    <xf numFmtId="0" fontId="35" fillId="0" borderId="16" xfId="0" applyFont="1" applyBorder="1"/>
    <xf numFmtId="0" fontId="35" fillId="0" borderId="19" xfId="0" applyFont="1" applyBorder="1"/>
    <xf numFmtId="49" fontId="35" fillId="0" borderId="0" xfId="0" applyNumberFormat="1" applyFont="1"/>
    <xf numFmtId="0" fontId="35" fillId="0" borderId="0" xfId="0" applyFont="1" applyAlignment="1">
      <alignment vertical="center"/>
    </xf>
    <xf numFmtId="0" fontId="29" fillId="0" borderId="19" xfId="0" applyFont="1" applyBorder="1" applyAlignment="1">
      <alignment vertical="top" wrapText="1"/>
    </xf>
    <xf numFmtId="0" fontId="35" fillId="40" borderId="0" xfId="0" applyFont="1" applyFill="1"/>
    <xf numFmtId="0" fontId="5" fillId="37" borderId="0" xfId="0" applyFont="1" applyFill="1" applyAlignment="1">
      <alignment horizontal="center" vertical="center"/>
    </xf>
    <xf numFmtId="1" fontId="32" fillId="36" borderId="0" xfId="0" applyNumberFormat="1" applyFont="1" applyFill="1" applyAlignment="1">
      <alignment vertical="center"/>
    </xf>
    <xf numFmtId="0" fontId="35" fillId="39" borderId="0" xfId="0" applyFont="1" applyFill="1"/>
    <xf numFmtId="0" fontId="5" fillId="39" borderId="15" xfId="0" applyFont="1" applyFill="1" applyBorder="1" applyAlignment="1">
      <alignment horizontal="center" vertical="center"/>
    </xf>
    <xf numFmtId="0" fontId="1" fillId="36" borderId="0" xfId="0" applyFont="1" applyFill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27" fillId="35" borderId="10" xfId="0" applyFont="1" applyFill="1" applyBorder="1" applyAlignment="1">
      <alignment horizontal="left" vertical="top" wrapText="1"/>
    </xf>
    <xf numFmtId="1" fontId="28" fillId="0" borderId="23" xfId="0" applyNumberFormat="1" applyFont="1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1" fontId="27" fillId="0" borderId="23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3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9" borderId="0" xfId="0" applyFont="1" applyFill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9" fillId="41" borderId="0" xfId="0" applyFont="1" applyFill="1" applyAlignment="1">
      <alignment horizontal="center" vertical="center"/>
    </xf>
    <xf numFmtId="0" fontId="1" fillId="41" borderId="15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" fontId="27" fillId="35" borderId="23" xfId="0" applyNumberFormat="1" applyFont="1" applyFill="1" applyBorder="1" applyAlignment="1">
      <alignment horizontal="center" vertical="center"/>
    </xf>
    <xf numFmtId="1" fontId="27" fillId="35" borderId="23" xfId="0" quotePrefix="1" applyNumberFormat="1" applyFont="1" applyFill="1" applyBorder="1" applyAlignment="1">
      <alignment horizontal="center" vertical="center"/>
    </xf>
    <xf numFmtId="1" fontId="27" fillId="35" borderId="24" xfId="0" applyNumberFormat="1" applyFont="1" applyFill="1" applyBorder="1" applyAlignment="1">
      <alignment horizontal="center" vertical="center"/>
    </xf>
    <xf numFmtId="1" fontId="25" fillId="35" borderId="23" xfId="0" applyNumberFormat="1" applyFont="1" applyFill="1" applyBorder="1" applyAlignment="1">
      <alignment horizontal="center" vertical="center"/>
    </xf>
    <xf numFmtId="1" fontId="27" fillId="35" borderId="10" xfId="0" applyNumberFormat="1" applyFont="1" applyFill="1" applyBorder="1" applyAlignment="1">
      <alignment horizontal="center" vertical="center"/>
    </xf>
    <xf numFmtId="1" fontId="27" fillId="35" borderId="25" xfId="0" applyNumberFormat="1" applyFont="1" applyFill="1" applyBorder="1" applyAlignment="1">
      <alignment horizontal="center" vertical="center"/>
    </xf>
    <xf numFmtId="1" fontId="27" fillId="0" borderId="23" xfId="0" quotePrefix="1" applyNumberFormat="1" applyFont="1" applyBorder="1" applyAlignment="1">
      <alignment horizontal="center" vertical="center"/>
    </xf>
    <xf numFmtId="1" fontId="28" fillId="39" borderId="2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9" fillId="36" borderId="16" xfId="0" applyFont="1" applyFill="1" applyBorder="1" applyAlignment="1">
      <alignment horizontal="center" vertical="center"/>
    </xf>
    <xf numFmtId="0" fontId="17" fillId="33" borderId="0" xfId="0" applyFont="1" applyFill="1"/>
    <xf numFmtId="0" fontId="5" fillId="39" borderId="16" xfId="0" applyFont="1" applyFill="1" applyBorder="1" applyAlignment="1">
      <alignment vertical="center"/>
    </xf>
    <xf numFmtId="1" fontId="32" fillId="39" borderId="16" xfId="0" applyNumberFormat="1" applyFont="1" applyFill="1" applyBorder="1" applyAlignment="1">
      <alignment vertical="center"/>
    </xf>
    <xf numFmtId="0" fontId="33" fillId="39" borderId="16" xfId="0" applyFont="1" applyFill="1" applyBorder="1"/>
    <xf numFmtId="0" fontId="17" fillId="39" borderId="16" xfId="0" applyFont="1" applyFill="1" applyBorder="1"/>
    <xf numFmtId="49" fontId="33" fillId="39" borderId="16" xfId="0" applyNumberFormat="1" applyFont="1" applyFill="1" applyBorder="1"/>
    <xf numFmtId="0" fontId="4" fillId="39" borderId="0" xfId="0" applyFont="1" applyFill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9" fillId="39" borderId="24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49" fontId="33" fillId="0" borderId="16" xfId="0" quotePrefix="1" applyNumberFormat="1" applyFont="1" applyBorder="1"/>
    <xf numFmtId="0" fontId="35" fillId="0" borderId="16" xfId="0" applyFont="1" applyBorder="1" applyAlignment="1">
      <alignment vertical="center"/>
    </xf>
    <xf numFmtId="1" fontId="28" fillId="0" borderId="0" xfId="0" applyNumberFormat="1" applyFont="1" applyAlignment="1">
      <alignment horizontal="center" vertical="center"/>
    </xf>
    <xf numFmtId="1" fontId="28" fillId="0" borderId="16" xfId="0" applyNumberFormat="1" applyFont="1" applyBorder="1" applyAlignment="1">
      <alignment horizontal="center" vertical="center"/>
    </xf>
    <xf numFmtId="1" fontId="28" fillId="39" borderId="16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" fillId="36" borderId="0" xfId="0" applyFont="1" applyFill="1" applyAlignment="1">
      <alignment horizontal="center" vertical="center"/>
    </xf>
    <xf numFmtId="0" fontId="1" fillId="35" borderId="15" xfId="0" applyFont="1" applyFill="1" applyBorder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1" fillId="36" borderId="15" xfId="0" applyFont="1" applyFill="1" applyBorder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1" fillId="38" borderId="15" xfId="0" applyFont="1" applyFill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49" fontId="33" fillId="0" borderId="16" xfId="0" quotePrefix="1" applyNumberFormat="1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49" fontId="33" fillId="0" borderId="0" xfId="0" quotePrefix="1" applyNumberFormat="1" applyFont="1" applyAlignment="1">
      <alignment vertical="center"/>
    </xf>
    <xf numFmtId="1" fontId="17" fillId="0" borderId="20" xfId="0" applyNumberFormat="1" applyFont="1" applyBorder="1" applyAlignment="1">
      <alignment horizontal="center" vertical="top" wrapText="1"/>
    </xf>
    <xf numFmtId="1" fontId="9" fillId="0" borderId="12" xfId="0" applyNumberFormat="1" applyFont="1" applyBorder="1" applyAlignment="1">
      <alignment horizontal="center" vertical="top" wrapText="1"/>
    </xf>
    <xf numFmtId="1" fontId="9" fillId="0" borderId="15" xfId="0" applyNumberFormat="1" applyFont="1" applyBorder="1" applyAlignment="1">
      <alignment horizontal="center" vertical="center"/>
    </xf>
    <xf numFmtId="1" fontId="17" fillId="39" borderId="14" xfId="0" applyNumberFormat="1" applyFont="1" applyFill="1" applyBorder="1" applyAlignment="1">
      <alignment horizontal="center" vertical="center"/>
    </xf>
    <xf numFmtId="1" fontId="9" fillId="39" borderId="15" xfId="0" applyNumberFormat="1" applyFont="1" applyFill="1" applyBorder="1" applyAlignment="1">
      <alignment horizontal="center" vertical="center"/>
    </xf>
    <xf numFmtId="0" fontId="32" fillId="0" borderId="0" xfId="0" applyFont="1"/>
    <xf numFmtId="0" fontId="33" fillId="0" borderId="11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49" fontId="33" fillId="0" borderId="11" xfId="0" applyNumberFormat="1" applyFont="1" applyBorder="1" applyAlignment="1">
      <alignment vertical="center"/>
    </xf>
    <xf numFmtId="0" fontId="27" fillId="35" borderId="12" xfId="0" applyFont="1" applyFill="1" applyBorder="1" applyAlignment="1">
      <alignment horizontal="left" vertical="top" wrapText="1"/>
    </xf>
    <xf numFmtId="1" fontId="9" fillId="0" borderId="25" xfId="0" applyNumberFormat="1" applyFont="1" applyBorder="1" applyAlignment="1">
      <alignment horizontal="center" vertical="center"/>
    </xf>
    <xf numFmtId="49" fontId="33" fillId="0" borderId="0" xfId="0" quotePrefix="1" applyNumberFormat="1" applyFont="1"/>
    <xf numFmtId="1" fontId="28" fillId="35" borderId="23" xfId="0" applyNumberFormat="1" applyFont="1" applyFill="1" applyBorder="1" applyAlignment="1">
      <alignment horizontal="center" vertical="center"/>
    </xf>
    <xf numFmtId="165" fontId="28" fillId="0" borderId="0" xfId="44" applyNumberFormat="1" applyFont="1" applyFill="1" applyBorder="1" applyAlignment="1">
      <alignment horizontal="center" vertical="center"/>
    </xf>
    <xf numFmtId="165" fontId="28" fillId="0" borderId="16" xfId="44" applyNumberFormat="1" applyFont="1" applyFill="1" applyBorder="1" applyAlignment="1">
      <alignment horizontal="center" vertical="center"/>
    </xf>
    <xf numFmtId="165" fontId="28" fillId="0" borderId="11" xfId="44" applyNumberFormat="1" applyFont="1" applyFill="1" applyBorder="1" applyAlignment="1">
      <alignment horizontal="center" vertical="center"/>
    </xf>
    <xf numFmtId="165" fontId="32" fillId="39" borderId="16" xfId="44" applyNumberFormat="1" applyFont="1" applyFill="1" applyBorder="1" applyAlignment="1">
      <alignment horizontal="center" vertical="center"/>
    </xf>
    <xf numFmtId="165" fontId="32" fillId="0" borderId="0" xfId="44" applyNumberFormat="1" applyFont="1" applyFill="1" applyBorder="1"/>
    <xf numFmtId="165" fontId="32" fillId="0" borderId="0" xfId="44" applyNumberFormat="1" applyFont="1" applyFill="1"/>
    <xf numFmtId="0" fontId="28" fillId="43" borderId="10" xfId="0" applyFont="1" applyFill="1" applyBorder="1" applyAlignment="1">
      <alignment horizontal="center" vertical="top" wrapText="1"/>
    </xf>
    <xf numFmtId="0" fontId="9" fillId="0" borderId="0" xfId="0" quotePrefix="1" applyFont="1" applyAlignment="1">
      <alignment horizontal="center" vertical="center"/>
    </xf>
    <xf numFmtId="1" fontId="27" fillId="36" borderId="0" xfId="0" applyNumberFormat="1" applyFont="1" applyFill="1" applyAlignment="1">
      <alignment horizontal="center" vertical="center"/>
    </xf>
    <xf numFmtId="1" fontId="27" fillId="36" borderId="16" xfId="0" applyNumberFormat="1" applyFont="1" applyFill="1" applyBorder="1" applyAlignment="1">
      <alignment horizontal="center" vertical="center"/>
    </xf>
    <xf numFmtId="165" fontId="25" fillId="0" borderId="0" xfId="44" applyNumberFormat="1" applyFont="1" applyFill="1" applyBorder="1" applyAlignment="1">
      <alignment horizontal="center" vertical="center"/>
    </xf>
    <xf numFmtId="1" fontId="27" fillId="35" borderId="0" xfId="0" applyNumberFormat="1" applyFont="1" applyFill="1" applyAlignment="1">
      <alignment horizontal="center" vertical="center"/>
    </xf>
    <xf numFmtId="165" fontId="27" fillId="35" borderId="0" xfId="44" applyNumberFormat="1" applyFont="1" applyFill="1" applyBorder="1" applyAlignment="1">
      <alignment horizontal="center" vertical="center"/>
    </xf>
    <xf numFmtId="1" fontId="27" fillId="35" borderId="16" xfId="0" applyNumberFormat="1" applyFont="1" applyFill="1" applyBorder="1" applyAlignment="1">
      <alignment horizontal="center" vertical="center"/>
    </xf>
    <xf numFmtId="165" fontId="27" fillId="35" borderId="16" xfId="44" applyNumberFormat="1" applyFont="1" applyFill="1" applyBorder="1" applyAlignment="1">
      <alignment horizontal="center" vertical="center"/>
    </xf>
    <xf numFmtId="1" fontId="27" fillId="35" borderId="11" xfId="0" applyNumberFormat="1" applyFont="1" applyFill="1" applyBorder="1" applyAlignment="1">
      <alignment horizontal="center" vertical="center"/>
    </xf>
    <xf numFmtId="165" fontId="27" fillId="35" borderId="11" xfId="44" applyNumberFormat="1" applyFont="1" applyFill="1" applyBorder="1" applyAlignment="1">
      <alignment horizontal="center" vertical="center"/>
    </xf>
    <xf numFmtId="165" fontId="27" fillId="0" borderId="0" xfId="44" applyNumberFormat="1" applyFont="1" applyFill="1" applyAlignment="1">
      <alignment horizontal="center" vertical="center" wrapText="1"/>
    </xf>
    <xf numFmtId="165" fontId="27" fillId="35" borderId="12" xfId="44" applyNumberFormat="1" applyFont="1" applyFill="1" applyBorder="1" applyAlignment="1">
      <alignment horizontal="left" vertical="top" wrapText="1"/>
    </xf>
    <xf numFmtId="0" fontId="28" fillId="0" borderId="0" xfId="0" applyFont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1" fillId="35" borderId="0" xfId="0" applyFont="1" applyFill="1" applyAlignment="1">
      <alignment horizontal="left" vertical="top" wrapText="1"/>
    </xf>
    <xf numFmtId="0" fontId="6" fillId="35" borderId="0" xfId="0" applyFont="1" applyFill="1" applyAlignment="1">
      <alignment horizontal="left" vertical="top" wrapText="1"/>
    </xf>
    <xf numFmtId="1" fontId="27" fillId="0" borderId="0" xfId="0" applyNumberFormat="1" applyFont="1" applyAlignment="1">
      <alignment horizontal="center" vertical="center"/>
    </xf>
    <xf numFmtId="165" fontId="27" fillId="0" borderId="0" xfId="44" applyNumberFormat="1" applyFont="1" applyFill="1" applyBorder="1" applyAlignment="1">
      <alignment horizontal="center" vertical="center"/>
    </xf>
    <xf numFmtId="0" fontId="1" fillId="42" borderId="0" xfId="0" applyFont="1" applyFill="1" applyAlignment="1">
      <alignment vertical="center"/>
    </xf>
    <xf numFmtId="0" fontId="9" fillId="39" borderId="16" xfId="0" applyFont="1" applyFill="1" applyBorder="1" applyAlignment="1">
      <alignment horizontal="center" vertical="center"/>
    </xf>
    <xf numFmtId="0" fontId="35" fillId="39" borderId="16" xfId="0" applyFont="1" applyFill="1" applyBorder="1"/>
    <xf numFmtId="0" fontId="6" fillId="0" borderId="0" xfId="0" applyFont="1" applyAlignment="1">
      <alignment horizontal="center" vertical="top" wrapText="1"/>
    </xf>
    <xf numFmtId="0" fontId="32" fillId="0" borderId="19" xfId="0" applyFont="1" applyBorder="1" applyAlignment="1">
      <alignment horizontal="center" vertical="top" wrapText="1"/>
    </xf>
    <xf numFmtId="1" fontId="32" fillId="0" borderId="0" xfId="0" applyNumberFormat="1" applyFont="1" applyAlignment="1">
      <alignment horizontal="center" vertical="center"/>
    </xf>
    <xf numFmtId="1" fontId="32" fillId="0" borderId="11" xfId="0" applyNumberFormat="1" applyFont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 wrapText="1"/>
    </xf>
    <xf numFmtId="1" fontId="32" fillId="33" borderId="0" xfId="0" applyNumberFormat="1" applyFont="1" applyFill="1" applyAlignment="1">
      <alignment horizontal="center" vertical="center"/>
    </xf>
    <xf numFmtId="1" fontId="32" fillId="0" borderId="11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/>
    </xf>
    <xf numFmtId="1" fontId="32" fillId="36" borderId="0" xfId="0" applyNumberFormat="1" applyFont="1" applyFill="1" applyAlignment="1">
      <alignment horizontal="center" vertical="center" wrapText="1"/>
    </xf>
    <xf numFmtId="1" fontId="32" fillId="39" borderId="0" xfId="0" applyNumberFormat="1" applyFont="1" applyFill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 wrapText="1"/>
    </xf>
    <xf numFmtId="1" fontId="32" fillId="39" borderId="1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7" fillId="35" borderId="10" xfId="0" applyFont="1" applyFill="1" applyBorder="1" applyAlignment="1">
      <alignment horizontal="center" vertical="top" wrapText="1"/>
    </xf>
    <xf numFmtId="1" fontId="28" fillId="33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12" xfId="0" applyFont="1" applyBorder="1" applyAlignment="1">
      <alignment horizontal="center" vertical="top" wrapText="1"/>
    </xf>
    <xf numFmtId="0" fontId="1" fillId="0" borderId="16" xfId="0" applyFont="1" applyBorder="1"/>
    <xf numFmtId="0" fontId="32" fillId="0" borderId="16" xfId="0" applyFont="1" applyBorder="1"/>
    <xf numFmtId="49" fontId="17" fillId="0" borderId="16" xfId="0" applyNumberFormat="1" applyFont="1" applyBorder="1"/>
    <xf numFmtId="49" fontId="35" fillId="0" borderId="16" xfId="0" applyNumberFormat="1" applyFont="1" applyBorder="1"/>
    <xf numFmtId="0" fontId="6" fillId="0" borderId="16" xfId="0" applyFont="1" applyBorder="1" applyAlignment="1">
      <alignment horizontal="center" vertical="center"/>
    </xf>
    <xf numFmtId="0" fontId="9" fillId="0" borderId="16" xfId="0" applyFont="1" applyBorder="1"/>
    <xf numFmtId="0" fontId="28" fillId="0" borderId="16" xfId="0" applyFont="1" applyBorder="1"/>
    <xf numFmtId="165" fontId="32" fillId="0" borderId="16" xfId="44" applyNumberFormat="1" applyFont="1" applyFill="1" applyBorder="1"/>
    <xf numFmtId="0" fontId="9" fillId="0" borderId="18" xfId="0" applyFont="1" applyBorder="1"/>
    <xf numFmtId="0" fontId="28" fillId="0" borderId="18" xfId="0" applyFont="1" applyBorder="1"/>
    <xf numFmtId="0" fontId="6" fillId="0" borderId="18" xfId="0" applyFont="1" applyBorder="1" applyAlignment="1">
      <alignment horizontal="center" vertical="center"/>
    </xf>
    <xf numFmtId="0" fontId="33" fillId="0" borderId="16" xfId="0" quotePrefix="1" applyFont="1" applyBorder="1"/>
    <xf numFmtId="0" fontId="17" fillId="0" borderId="0" xfId="0" applyFont="1" applyAlignment="1">
      <alignment horizontal="left" vertical="top" wrapText="1"/>
    </xf>
    <xf numFmtId="0" fontId="17" fillId="39" borderId="0" xfId="0" applyFont="1" applyFill="1" applyAlignment="1">
      <alignment horizontal="left" vertical="top" wrapText="1"/>
    </xf>
    <xf numFmtId="0" fontId="32" fillId="0" borderId="0" xfId="0" applyFont="1" applyAlignment="1">
      <alignment horizontal="center" vertical="top" wrapText="1"/>
    </xf>
    <xf numFmtId="0" fontId="28" fillId="0" borderId="16" xfId="0" applyFont="1" applyBorder="1" applyAlignment="1">
      <alignment horizontal="center"/>
    </xf>
    <xf numFmtId="1" fontId="28" fillId="0" borderId="26" xfId="0" applyNumberFormat="1" applyFont="1" applyBorder="1" applyAlignment="1">
      <alignment horizontal="center" vertical="center"/>
    </xf>
    <xf numFmtId="165" fontId="27" fillId="0" borderId="11" xfId="44" applyNumberFormat="1" applyFont="1" applyFill="1" applyBorder="1" applyAlignment="1">
      <alignment horizontal="center" vertical="center"/>
    </xf>
    <xf numFmtId="1" fontId="28" fillId="0" borderId="14" xfId="0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8" fillId="0" borderId="11" xfId="0" applyFont="1" applyBorder="1" applyAlignment="1">
      <alignment horizontal="center"/>
    </xf>
    <xf numFmtId="1" fontId="17" fillId="0" borderId="16" xfId="0" applyNumberFormat="1" applyFont="1" applyBorder="1" applyAlignment="1">
      <alignment horizontal="center" vertical="center"/>
    </xf>
    <xf numFmtId="166" fontId="32" fillId="44" borderId="12" xfId="0" applyNumberFormat="1" applyFont="1" applyFill="1" applyBorder="1" applyAlignment="1">
      <alignment horizontal="center" vertical="top" wrapText="1"/>
    </xf>
    <xf numFmtId="44" fontId="32" fillId="0" borderId="15" xfId="0" applyNumberFormat="1" applyFont="1" applyBorder="1"/>
    <xf numFmtId="0" fontId="32" fillId="0" borderId="11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49" fontId="17" fillId="0" borderId="11" xfId="0" applyNumberFormat="1" applyFont="1" applyBorder="1"/>
    <xf numFmtId="1" fontId="42" fillId="36" borderId="14" xfId="0" applyNumberFormat="1" applyFont="1" applyFill="1" applyBorder="1" applyAlignment="1">
      <alignment horizontal="center" vertical="center"/>
    </xf>
    <xf numFmtId="164" fontId="6" fillId="0" borderId="0" xfId="44" applyFont="1" applyAlignment="1">
      <alignment horizontal="left" vertical="top" wrapText="1"/>
    </xf>
    <xf numFmtId="164" fontId="32" fillId="0" borderId="10" xfId="44" applyFont="1" applyBorder="1" applyAlignment="1">
      <alignment horizontal="left" vertical="top" wrapText="1"/>
    </xf>
    <xf numFmtId="164" fontId="32" fillId="0" borderId="23" xfId="44" applyFont="1" applyBorder="1" applyAlignment="1">
      <alignment horizontal="center" vertical="center"/>
    </xf>
    <xf numFmtId="164" fontId="32" fillId="0" borderId="23" xfId="44" applyFont="1" applyFill="1" applyBorder="1" applyAlignment="1">
      <alignment horizontal="center" vertical="center"/>
    </xf>
    <xf numFmtId="164" fontId="32" fillId="0" borderId="25" xfId="44" applyFont="1" applyBorder="1" applyAlignment="1">
      <alignment horizontal="center" vertical="center"/>
    </xf>
    <xf numFmtId="164" fontId="32" fillId="0" borderId="24" xfId="44" applyFont="1" applyBorder="1" applyAlignment="1">
      <alignment horizontal="center" vertical="center"/>
    </xf>
    <xf numFmtId="164" fontId="32" fillId="0" borderId="24" xfId="44" applyFont="1" applyFill="1" applyBorder="1" applyAlignment="1">
      <alignment horizontal="center" vertical="center"/>
    </xf>
    <xf numFmtId="164" fontId="32" fillId="0" borderId="10" xfId="44" applyFont="1" applyBorder="1" applyAlignment="1">
      <alignment horizontal="center" vertical="center"/>
    </xf>
    <xf numFmtId="164" fontId="17" fillId="0" borderId="23" xfId="44" applyFont="1" applyFill="1" applyBorder="1" applyAlignment="1">
      <alignment horizontal="center" vertical="center"/>
    </xf>
    <xf numFmtId="164" fontId="6" fillId="0" borderId="0" xfId="44" applyFont="1"/>
    <xf numFmtId="164" fontId="6" fillId="0" borderId="0" xfId="44" applyFont="1" applyBorder="1"/>
    <xf numFmtId="49" fontId="17" fillId="44" borderId="0" xfId="0" applyNumberFormat="1" applyFont="1" applyFill="1"/>
    <xf numFmtId="164" fontId="17" fillId="0" borderId="23" xfId="44" applyFont="1" applyBorder="1" applyAlignment="1">
      <alignment horizontal="center" vertical="center"/>
    </xf>
    <xf numFmtId="0" fontId="17" fillId="44" borderId="0" xfId="0" applyFont="1" applyFill="1"/>
    <xf numFmtId="0" fontId="17" fillId="44" borderId="0" xfId="0" applyFont="1" applyFill="1" applyAlignment="1">
      <alignment vertical="center"/>
    </xf>
    <xf numFmtId="1" fontId="25" fillId="0" borderId="0" xfId="0" applyNumberFormat="1" applyFont="1" applyAlignment="1">
      <alignment horizontal="center" vertical="center"/>
    </xf>
    <xf numFmtId="0" fontId="27" fillId="35" borderId="12" xfId="0" applyFont="1" applyFill="1" applyBorder="1" applyAlignment="1">
      <alignment horizontal="center" vertical="top" wrapText="1"/>
    </xf>
    <xf numFmtId="164" fontId="17" fillId="0" borderId="24" xfId="44" applyFont="1" applyBorder="1" applyAlignment="1">
      <alignment horizontal="center" vertical="center"/>
    </xf>
    <xf numFmtId="164" fontId="32" fillId="39" borderId="24" xfId="44" applyFont="1" applyFill="1" applyBorder="1" applyAlignment="1">
      <alignment horizontal="center" vertical="center"/>
    </xf>
    <xf numFmtId="164" fontId="32" fillId="39" borderId="23" xfId="44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7" fillId="35" borderId="11" xfId="0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33" fillId="3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0" fontId="5" fillId="45" borderId="0" xfId="0" applyFont="1" applyFill="1" applyAlignment="1">
      <alignment horizontal="center" vertical="center"/>
    </xf>
    <xf numFmtId="0" fontId="1" fillId="45" borderId="0" xfId="0" applyFont="1" applyFill="1" applyAlignment="1">
      <alignment horizontal="center" vertical="center"/>
    </xf>
    <xf numFmtId="0" fontId="1" fillId="45" borderId="16" xfId="0" applyFont="1" applyFill="1" applyBorder="1" applyAlignment="1">
      <alignment horizontal="center" vertical="center"/>
    </xf>
    <xf numFmtId="0" fontId="17" fillId="46" borderId="0" xfId="0" applyFont="1" applyFill="1"/>
    <xf numFmtId="0" fontId="9" fillId="37" borderId="0" xfId="0" applyFont="1" applyFill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43" fillId="0" borderId="12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39" fillId="0" borderId="10" xfId="0" applyFont="1" applyBorder="1" applyAlignment="1">
      <alignment horizontal="center" vertical="top" wrapText="1"/>
    </xf>
    <xf numFmtId="0" fontId="37" fillId="0" borderId="10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29" fillId="0" borderId="10" xfId="0" applyFont="1" applyBorder="1" applyAlignment="1">
      <alignment horizontal="center" vertical="top" wrapText="1"/>
    </xf>
    <xf numFmtId="0" fontId="39" fillId="0" borderId="12" xfId="0" applyFont="1" applyBorder="1" applyAlignment="1">
      <alignment horizontal="center" vertical="top" wrapText="1"/>
    </xf>
    <xf numFmtId="0" fontId="41" fillId="44" borderId="12" xfId="0" applyFont="1" applyFill="1" applyBorder="1" applyAlignment="1">
      <alignment horizontal="center" vertical="top" wrapText="1"/>
    </xf>
    <xf numFmtId="0" fontId="41" fillId="0" borderId="12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9" fillId="0" borderId="19" xfId="0" applyFont="1" applyBorder="1" applyAlignment="1">
      <alignment horizontal="center" vertical="top" wrapText="1"/>
    </xf>
    <xf numFmtId="0" fontId="25" fillId="0" borderId="19" xfId="0" applyFont="1" applyBorder="1" applyAlignment="1">
      <alignment horizontal="center" vertical="top" wrapText="1"/>
    </xf>
    <xf numFmtId="0" fontId="17" fillId="47" borderId="0" xfId="0" applyFont="1" applyFill="1"/>
    <xf numFmtId="1" fontId="6" fillId="0" borderId="0" xfId="0" applyNumberFormat="1" applyFont="1"/>
    <xf numFmtId="0" fontId="44" fillId="0" borderId="10" xfId="0" applyFont="1" applyBorder="1" applyAlignment="1">
      <alignment horizontal="center" vertical="top" wrapText="1"/>
    </xf>
    <xf numFmtId="1" fontId="27" fillId="39" borderId="16" xfId="0" applyNumberFormat="1" applyFont="1" applyFill="1" applyBorder="1" applyAlignment="1">
      <alignment horizontal="center" vertical="center"/>
    </xf>
    <xf numFmtId="1" fontId="28" fillId="42" borderId="0" xfId="0" quotePrefix="1" applyNumberFormat="1" applyFont="1" applyFill="1" applyAlignment="1">
      <alignment horizontal="center" vertical="center"/>
    </xf>
    <xf numFmtId="1" fontId="28" fillId="0" borderId="0" xfId="0" quotePrefix="1" applyNumberFormat="1" applyFont="1" applyAlignment="1">
      <alignment horizontal="center" vertical="center"/>
    </xf>
    <xf numFmtId="49" fontId="17" fillId="0" borderId="0" xfId="0" applyNumberFormat="1" applyFont="1" applyFill="1"/>
  </cellXfs>
  <cellStyles count="45">
    <cellStyle name="20% - Colore 1 2" xfId="3" xr:uid="{00000000-0005-0000-0000-000000000000}"/>
    <cellStyle name="20% - Colore 2 2" xfId="4" xr:uid="{00000000-0005-0000-0000-000001000000}"/>
    <cellStyle name="20% - Colore 3 2" xfId="5" xr:uid="{00000000-0005-0000-0000-000002000000}"/>
    <cellStyle name="20% - Colore 4 2" xfId="6" xr:uid="{00000000-0005-0000-0000-000003000000}"/>
    <cellStyle name="20% - Colore 5 2" xfId="7" xr:uid="{00000000-0005-0000-0000-000004000000}"/>
    <cellStyle name="20% - Colore 6 2" xfId="8" xr:uid="{00000000-0005-0000-0000-000005000000}"/>
    <cellStyle name="40% - Colore 1 2" xfId="9" xr:uid="{00000000-0005-0000-0000-000006000000}"/>
    <cellStyle name="40% - Colore 2 2" xfId="10" xr:uid="{00000000-0005-0000-0000-000007000000}"/>
    <cellStyle name="40% - Colore 3 2" xfId="11" xr:uid="{00000000-0005-0000-0000-000008000000}"/>
    <cellStyle name="40% - Colore 4 2" xfId="12" xr:uid="{00000000-0005-0000-0000-000009000000}"/>
    <cellStyle name="40% - Colore 5 2" xfId="13" xr:uid="{00000000-0005-0000-0000-00000A000000}"/>
    <cellStyle name="40% - Colore 6 2" xfId="14" xr:uid="{00000000-0005-0000-0000-00000B000000}"/>
    <cellStyle name="60% - Colore 1 2" xfId="15" xr:uid="{00000000-0005-0000-0000-00000C000000}"/>
    <cellStyle name="60% - Colore 2 2" xfId="16" xr:uid="{00000000-0005-0000-0000-00000D000000}"/>
    <cellStyle name="60% - Colore 3 2" xfId="17" xr:uid="{00000000-0005-0000-0000-00000E000000}"/>
    <cellStyle name="60% - Colore 4 2" xfId="18" xr:uid="{00000000-0005-0000-0000-00000F000000}"/>
    <cellStyle name="60% - Colore 5 2" xfId="19" xr:uid="{00000000-0005-0000-0000-000010000000}"/>
    <cellStyle name="60% - Colore 6 2" xfId="20" xr:uid="{00000000-0005-0000-0000-000011000000}"/>
    <cellStyle name="Calcolo 2" xfId="21" xr:uid="{00000000-0005-0000-0000-000012000000}"/>
    <cellStyle name="Cella collegata 2" xfId="22" xr:uid="{00000000-0005-0000-0000-000013000000}"/>
    <cellStyle name="Cella da controllare 2" xfId="23" xr:uid="{00000000-0005-0000-0000-000014000000}"/>
    <cellStyle name="Colore 1 2" xfId="24" xr:uid="{00000000-0005-0000-0000-000015000000}"/>
    <cellStyle name="Colore 2 2" xfId="25" xr:uid="{00000000-0005-0000-0000-000016000000}"/>
    <cellStyle name="Colore 3 2" xfId="26" xr:uid="{00000000-0005-0000-0000-000017000000}"/>
    <cellStyle name="Colore 4 2" xfId="27" xr:uid="{00000000-0005-0000-0000-000018000000}"/>
    <cellStyle name="Colore 5 2" xfId="28" xr:uid="{00000000-0005-0000-0000-000019000000}"/>
    <cellStyle name="Colore 6 2" xfId="29" xr:uid="{00000000-0005-0000-0000-00001A000000}"/>
    <cellStyle name="Input 2" xfId="30" xr:uid="{00000000-0005-0000-0000-00001B000000}"/>
    <cellStyle name="Migliaia" xfId="44" builtinId="3"/>
    <cellStyle name="Neutrale 2" xfId="31" xr:uid="{00000000-0005-0000-0000-00001D000000}"/>
    <cellStyle name="Normale" xfId="0" builtinId="0"/>
    <cellStyle name="Normale 2" xfId="2" xr:uid="{00000000-0005-0000-0000-00001F000000}"/>
    <cellStyle name="Nota 2" xfId="32" xr:uid="{00000000-0005-0000-0000-000020000000}"/>
    <cellStyle name="Output 2" xfId="33" xr:uid="{00000000-0005-0000-0000-000021000000}"/>
    <cellStyle name="Testo avviso 2" xfId="34" xr:uid="{00000000-0005-0000-0000-000022000000}"/>
    <cellStyle name="Testo descrittivo 2" xfId="35" xr:uid="{00000000-0005-0000-0000-000023000000}"/>
    <cellStyle name="Titolo" xfId="1" builtinId="15" customBuiltin="1"/>
    <cellStyle name="Titolo 1 2" xfId="36" xr:uid="{00000000-0005-0000-0000-000025000000}"/>
    <cellStyle name="Titolo 2 2" xfId="37" xr:uid="{00000000-0005-0000-0000-000026000000}"/>
    <cellStyle name="Titolo 3 2" xfId="38" xr:uid="{00000000-0005-0000-0000-000027000000}"/>
    <cellStyle name="Titolo 4 2" xfId="39" xr:uid="{00000000-0005-0000-0000-000028000000}"/>
    <cellStyle name="Totale 2" xfId="40" xr:uid="{00000000-0005-0000-0000-000029000000}"/>
    <cellStyle name="Valore non valido 2" xfId="41" xr:uid="{00000000-0005-0000-0000-00002A000000}"/>
    <cellStyle name="Valore valido 2" xfId="42" xr:uid="{00000000-0005-0000-0000-00002B000000}"/>
    <cellStyle name="常规_EXP_MSC-07CRN1-20C(03C)_CE0610(ROHS)" xfId="43" xr:uid="{00000000-0005-0000-0000-00002C000000}"/>
  </cellStyles>
  <dxfs count="3">
    <dxf>
      <font>
        <color rgb="FFFF0000"/>
      </font>
    </dxf>
    <dxf>
      <font>
        <b val="0"/>
        <i val="0"/>
        <color rgb="FFFFC000"/>
      </font>
    </dxf>
    <dxf>
      <font>
        <color rgb="FFFFC000"/>
      </font>
    </dxf>
  </dxfs>
  <tableStyles count="0" defaultTableStyle="TableStyleMedium9" defaultPivotStyle="PivotStyleLight16"/>
  <colors>
    <mruColors>
      <color rgb="FF0000FF"/>
      <color rgb="FFFFFFCC"/>
      <color rgb="FFFFFF66"/>
      <color rgb="FF66FF33"/>
      <color rgb="FFCCFFFF"/>
      <color rgb="FFCCFFCC"/>
      <color rgb="FF9900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28"/>
  <sheetViews>
    <sheetView tabSelected="1" zoomScale="85" zoomScaleNormal="85" workbookViewId="0">
      <pane xSplit="8" ySplit="2" topLeftCell="BJ3" activePane="bottomRight" state="frozenSplit"/>
      <selection pane="topRight" activeCell="N1" sqref="N1"/>
      <selection pane="bottomLeft" activeCell="A21" sqref="A21"/>
      <selection pane="bottomRight" activeCell="BP38" sqref="BP38"/>
    </sheetView>
  </sheetViews>
  <sheetFormatPr defaultColWidth="8.88671875" defaultRowHeight="13.2" x14ac:dyDescent="0.25"/>
  <cols>
    <col min="1" max="1" width="38.77734375" style="6" bestFit="1" customWidth="1"/>
    <col min="2" max="2" width="35" style="86" customWidth="1"/>
    <col min="3" max="3" width="36.77734375" style="213" bestFit="1" customWidth="1"/>
    <col min="4" max="5" width="8.21875" style="65" customWidth="1"/>
    <col min="6" max="6" width="11" style="6" customWidth="1"/>
    <col min="7" max="7" width="8.21875" style="65" customWidth="1"/>
    <col min="8" max="8" width="13.33203125" style="6" bestFit="1" customWidth="1"/>
    <col min="9" max="9" width="24.88671875" style="6" customWidth="1"/>
    <col min="10" max="10" width="8.88671875" style="6" customWidth="1"/>
    <col min="11" max="11" width="13.109375" style="88" bestFit="1" customWidth="1"/>
    <col min="12" max="22" width="13.109375" style="9" customWidth="1"/>
    <col min="23" max="23" width="13.109375" style="272" customWidth="1"/>
    <col min="24" max="36" width="13.109375" style="9" customWidth="1"/>
    <col min="37" max="42" width="13.109375" style="272" customWidth="1"/>
    <col min="43" max="49" width="13.109375" style="9" customWidth="1"/>
    <col min="50" max="50" width="13.109375" style="272" customWidth="1"/>
    <col min="51" max="56" width="13.109375" style="9" customWidth="1"/>
    <col min="57" max="59" width="13.109375" style="6" customWidth="1"/>
    <col min="60" max="60" width="13.109375" style="9" customWidth="1"/>
    <col min="61" max="62" width="13.109375" style="6" customWidth="1"/>
    <col min="63" max="63" width="13.109375" style="7" customWidth="1"/>
    <col min="64" max="64" width="13.109375" style="258" bestFit="1" customWidth="1"/>
    <col min="65" max="67" width="13.109375" style="6" customWidth="1"/>
    <col min="68" max="69" width="8.88671875" style="4" customWidth="1"/>
    <col min="70" max="71" width="10.109375" style="4" hidden="1" customWidth="1"/>
    <col min="72" max="72" width="10.109375" style="4" customWidth="1"/>
    <col min="73" max="73" width="10.109375" style="189" customWidth="1"/>
    <col min="74" max="74" width="10.109375" style="162" customWidth="1"/>
    <col min="75" max="75" width="10.109375" style="175" customWidth="1"/>
    <col min="76" max="77" width="10.109375" style="189" customWidth="1"/>
    <col min="78" max="78" width="10.109375" style="162" hidden="1" customWidth="1"/>
    <col min="79" max="80" width="10.109375" style="189" customWidth="1"/>
    <col min="81" max="82" width="10.109375" style="162" hidden="1" customWidth="1"/>
    <col min="83" max="83" width="10.109375" style="189" customWidth="1"/>
    <col min="84" max="84" width="10.109375" style="162" hidden="1" customWidth="1"/>
    <col min="85" max="87" width="10.109375" style="189" customWidth="1"/>
    <col min="88" max="88" width="15.109375" style="162" hidden="1" customWidth="1"/>
    <col min="89" max="89" width="16.33203125" style="162" hidden="1" customWidth="1"/>
    <col min="90" max="91" width="10.109375" style="162" hidden="1" customWidth="1"/>
    <col min="92" max="93" width="10.109375" style="189" customWidth="1"/>
    <col min="94" max="94" width="15.109375" style="162" hidden="1" customWidth="1"/>
    <col min="95" max="95" width="13.109375" style="189" customWidth="1"/>
    <col min="96" max="96" width="13.109375" style="162" customWidth="1"/>
    <col min="97" max="97" width="13.109375" style="189" customWidth="1"/>
    <col min="98" max="16384" width="8.88671875" style="6"/>
  </cols>
  <sheetData>
    <row r="1" spans="1:98" s="10" customFormat="1" ht="31.95" customHeight="1" x14ac:dyDescent="0.3">
      <c r="B1"/>
      <c r="C1" s="201"/>
      <c r="D1" s="63"/>
      <c r="E1" s="63"/>
      <c r="G1" s="63"/>
      <c r="K1" s="87"/>
      <c r="L1" s="190" t="s">
        <v>87</v>
      </c>
      <c r="M1" s="81" t="s">
        <v>4</v>
      </c>
      <c r="N1" s="191" t="s">
        <v>220</v>
      </c>
      <c r="O1" s="191" t="s">
        <v>220</v>
      </c>
      <c r="P1" s="193" t="s">
        <v>220</v>
      </c>
      <c r="Q1" s="17" t="s">
        <v>360</v>
      </c>
      <c r="R1" s="193" t="s">
        <v>360</v>
      </c>
      <c r="S1" s="192" t="s">
        <v>372</v>
      </c>
      <c r="T1" s="83" t="s">
        <v>6</v>
      </c>
      <c r="U1" s="271" t="s">
        <v>675</v>
      </c>
      <c r="V1" s="271" t="s">
        <v>675</v>
      </c>
      <c r="W1" s="271" t="s">
        <v>675</v>
      </c>
      <c r="X1" s="10" t="s">
        <v>5</v>
      </c>
      <c r="Y1" s="10" t="s">
        <v>5</v>
      </c>
      <c r="Z1" s="10" t="s">
        <v>21</v>
      </c>
      <c r="AA1" s="194" t="s">
        <v>21</v>
      </c>
      <c r="AB1" s="194" t="s">
        <v>502</v>
      </c>
      <c r="AC1" s="195" t="s">
        <v>502</v>
      </c>
      <c r="AD1" s="17" t="s">
        <v>10</v>
      </c>
      <c r="AE1" s="235" t="s">
        <v>583</v>
      </c>
      <c r="AF1" s="235" t="s">
        <v>583</v>
      </c>
      <c r="AG1" s="235" t="s">
        <v>583</v>
      </c>
      <c r="AH1" s="235" t="s">
        <v>583</v>
      </c>
      <c r="AI1" s="235" t="s">
        <v>583</v>
      </c>
      <c r="AJ1" s="285" t="s">
        <v>761</v>
      </c>
      <c r="AK1" s="10" t="s">
        <v>583</v>
      </c>
      <c r="AL1" s="10" t="s">
        <v>583</v>
      </c>
      <c r="AM1" s="235" t="s">
        <v>583</v>
      </c>
      <c r="AN1" s="235" t="s">
        <v>583</v>
      </c>
      <c r="AO1" s="191" t="s">
        <v>583</v>
      </c>
      <c r="AP1" s="191" t="s">
        <v>583</v>
      </c>
      <c r="AQ1" s="235" t="s">
        <v>583</v>
      </c>
      <c r="AR1" s="235" t="s">
        <v>583</v>
      </c>
      <c r="AS1" s="195" t="s">
        <v>618</v>
      </c>
      <c r="AT1" s="195" t="s">
        <v>618</v>
      </c>
      <c r="AU1" s="195" t="s">
        <v>640</v>
      </c>
      <c r="AV1" s="235" t="s">
        <v>670</v>
      </c>
      <c r="AW1" s="17" t="s">
        <v>10</v>
      </c>
      <c r="AX1" s="191" t="s">
        <v>10</v>
      </c>
      <c r="AY1" s="191" t="s">
        <v>10</v>
      </c>
      <c r="AZ1" s="16" t="s">
        <v>11</v>
      </c>
      <c r="BA1" s="11" t="s">
        <v>3</v>
      </c>
      <c r="BB1" s="233" t="s">
        <v>3</v>
      </c>
      <c r="BC1" s="234" t="s">
        <v>7</v>
      </c>
      <c r="BD1" s="233" t="s">
        <v>561</v>
      </c>
      <c r="BE1" s="10" t="s">
        <v>7</v>
      </c>
      <c r="BF1" s="17" t="s">
        <v>9</v>
      </c>
      <c r="BG1" s="17" t="s">
        <v>561</v>
      </c>
      <c r="BH1" s="16" t="s">
        <v>12</v>
      </c>
      <c r="BI1" s="17" t="s">
        <v>8</v>
      </c>
      <c r="BJ1" s="84" t="s">
        <v>8</v>
      </c>
      <c r="BK1" s="17" t="s">
        <v>17</v>
      </c>
      <c r="BL1" s="249"/>
      <c r="BP1" s="11"/>
      <c r="BQ1" s="11"/>
      <c r="BR1" s="146">
        <f t="shared" ref="BR1:CA1" si="0">SUBTOTAL(9,BR3:BR169)</f>
        <v>87</v>
      </c>
      <c r="BS1" s="146">
        <f t="shared" si="0"/>
        <v>147</v>
      </c>
      <c r="BT1" s="146">
        <f t="shared" si="0"/>
        <v>396</v>
      </c>
      <c r="BU1" s="146">
        <f t="shared" si="0"/>
        <v>845</v>
      </c>
      <c r="BV1" s="146">
        <f t="shared" si="0"/>
        <v>471</v>
      </c>
      <c r="BW1" s="187">
        <f t="shared" si="0"/>
        <v>332</v>
      </c>
      <c r="BX1" s="146">
        <f t="shared" si="0"/>
        <v>319</v>
      </c>
      <c r="BY1" s="146">
        <f t="shared" si="0"/>
        <v>299</v>
      </c>
      <c r="BZ1" s="219">
        <f t="shared" si="0"/>
        <v>298</v>
      </c>
      <c r="CA1" s="146">
        <f t="shared" si="0"/>
        <v>261</v>
      </c>
      <c r="CB1" s="146">
        <f>SUBTOTAL(9,CB3:CB188)</f>
        <v>462</v>
      </c>
      <c r="CC1" s="219">
        <f>SUBTOTAL(9,CC3:CC182)</f>
        <v>35</v>
      </c>
      <c r="CD1" s="219">
        <f>SUBTOTAL(9,CD3:CD182)</f>
        <v>743</v>
      </c>
      <c r="CE1" s="146">
        <f>SUBTOTAL(9,CE3:CE188)</f>
        <v>748</v>
      </c>
      <c r="CF1" s="219">
        <f>SUBTOTAL(9,CF3:CF182)</f>
        <v>748</v>
      </c>
      <c r="CG1" s="146">
        <f>SUBTOTAL(9,CG3:CG188)</f>
        <v>255</v>
      </c>
      <c r="CH1" s="146">
        <f>SUBTOTAL(9,CH3:CH188)</f>
        <v>916</v>
      </c>
      <c r="CI1" s="146">
        <f>SUBTOTAL(9,CI3:CI188)</f>
        <v>45</v>
      </c>
      <c r="CJ1" s="219">
        <f t="shared" ref="CJ1:CM1" si="1">SUBTOTAL(9,CJ3:CJ188)</f>
        <v>351</v>
      </c>
      <c r="CK1" s="219">
        <f t="shared" si="1"/>
        <v>326</v>
      </c>
      <c r="CL1" s="219">
        <f t="shared" si="1"/>
        <v>199</v>
      </c>
      <c r="CM1" s="219">
        <f t="shared" si="1"/>
        <v>95</v>
      </c>
      <c r="CN1" s="146">
        <f t="shared" ref="CN1:CS1" si="2">SUBTOTAL(9,CN3:CN188)</f>
        <v>355</v>
      </c>
      <c r="CO1" s="146">
        <f t="shared" si="2"/>
        <v>90</v>
      </c>
      <c r="CP1" s="219">
        <f t="shared" si="2"/>
        <v>445</v>
      </c>
      <c r="CQ1" s="277">
        <f t="shared" si="2"/>
        <v>622</v>
      </c>
      <c r="CR1" s="219">
        <f t="shared" si="2"/>
        <v>572</v>
      </c>
      <c r="CS1" s="277">
        <f t="shared" si="2"/>
        <v>185</v>
      </c>
    </row>
    <row r="2" spans="1:98" s="8" customFormat="1" ht="40.65" customHeight="1" x14ac:dyDescent="0.3">
      <c r="A2" s="12" t="s">
        <v>0</v>
      </c>
      <c r="B2" s="85" t="s">
        <v>223</v>
      </c>
      <c r="C2" s="202" t="s">
        <v>126</v>
      </c>
      <c r="D2" s="64" t="s">
        <v>25</v>
      </c>
      <c r="E2" s="64" t="s">
        <v>26</v>
      </c>
      <c r="F2" s="14" t="s">
        <v>774</v>
      </c>
      <c r="G2" s="64" t="s">
        <v>1</v>
      </c>
      <c r="H2" s="13" t="s">
        <v>27</v>
      </c>
      <c r="I2" s="176" t="s">
        <v>406</v>
      </c>
      <c r="J2" s="176" t="s">
        <v>407</v>
      </c>
      <c r="K2" s="94" t="s">
        <v>271</v>
      </c>
      <c r="L2" s="286" t="s">
        <v>88</v>
      </c>
      <c r="M2" s="287" t="s">
        <v>70</v>
      </c>
      <c r="N2" s="287" t="s">
        <v>221</v>
      </c>
      <c r="O2" s="288" t="s">
        <v>359</v>
      </c>
      <c r="P2" s="289" t="s">
        <v>385</v>
      </c>
      <c r="Q2" s="287" t="s">
        <v>361</v>
      </c>
      <c r="R2" s="289" t="s">
        <v>384</v>
      </c>
      <c r="S2" s="290" t="s">
        <v>373</v>
      </c>
      <c r="T2" s="288" t="s">
        <v>20</v>
      </c>
      <c r="U2" s="289" t="s">
        <v>671</v>
      </c>
      <c r="V2" s="289" t="s">
        <v>672</v>
      </c>
      <c r="W2" s="291" t="s">
        <v>722</v>
      </c>
      <c r="X2" s="291" t="s">
        <v>19</v>
      </c>
      <c r="Y2" s="287" t="s">
        <v>219</v>
      </c>
      <c r="Z2" s="292" t="s">
        <v>22</v>
      </c>
      <c r="AA2" s="292" t="s">
        <v>499</v>
      </c>
      <c r="AB2" s="292" t="s">
        <v>500</v>
      </c>
      <c r="AC2" s="292" t="s">
        <v>501</v>
      </c>
      <c r="AD2" s="286" t="s">
        <v>14</v>
      </c>
      <c r="AE2" s="278" t="s">
        <v>582</v>
      </c>
      <c r="AF2" s="278" t="s">
        <v>595</v>
      </c>
      <c r="AG2" s="278" t="s">
        <v>668</v>
      </c>
      <c r="AH2" s="289" t="s">
        <v>673</v>
      </c>
      <c r="AI2" s="293" t="s">
        <v>674</v>
      </c>
      <c r="AJ2" s="294" t="s">
        <v>750</v>
      </c>
      <c r="AK2" s="291" t="s">
        <v>723</v>
      </c>
      <c r="AL2" s="291" t="s">
        <v>724</v>
      </c>
      <c r="AM2" s="295" t="s">
        <v>725</v>
      </c>
      <c r="AN2" s="295" t="s">
        <v>726</v>
      </c>
      <c r="AO2" s="288" t="s">
        <v>727</v>
      </c>
      <c r="AP2" s="288" t="s">
        <v>728</v>
      </c>
      <c r="AQ2" s="295" t="s">
        <v>601</v>
      </c>
      <c r="AR2" s="295" t="s">
        <v>602</v>
      </c>
      <c r="AS2" s="292" t="s">
        <v>619</v>
      </c>
      <c r="AT2" s="292" t="s">
        <v>620</v>
      </c>
      <c r="AU2" s="292" t="s">
        <v>639</v>
      </c>
      <c r="AV2" s="278" t="s">
        <v>669</v>
      </c>
      <c r="AW2" s="291" t="s">
        <v>314</v>
      </c>
      <c r="AX2" s="288" t="s">
        <v>729</v>
      </c>
      <c r="AY2" s="288" t="s">
        <v>358</v>
      </c>
      <c r="AZ2" s="292" t="s">
        <v>15</v>
      </c>
      <c r="BA2" s="291" t="s">
        <v>69</v>
      </c>
      <c r="BB2" s="288" t="s">
        <v>357</v>
      </c>
      <c r="BC2" s="296" t="s">
        <v>13</v>
      </c>
      <c r="BD2" s="296" t="s">
        <v>578</v>
      </c>
      <c r="BE2" s="297" t="s">
        <v>23</v>
      </c>
      <c r="BF2" s="291" t="s">
        <v>73</v>
      </c>
      <c r="BG2" s="291" t="s">
        <v>560</v>
      </c>
      <c r="BH2" s="292" t="s">
        <v>16</v>
      </c>
      <c r="BI2" s="278" t="s">
        <v>71</v>
      </c>
      <c r="BJ2" s="298" t="s">
        <v>72</v>
      </c>
      <c r="BK2" s="278" t="s">
        <v>18</v>
      </c>
      <c r="BL2" s="250" t="s">
        <v>730</v>
      </c>
      <c r="BM2" s="243" t="s">
        <v>346</v>
      </c>
      <c r="BN2" s="243" t="s">
        <v>612</v>
      </c>
      <c r="BO2" s="243" t="s">
        <v>613</v>
      </c>
      <c r="BP2" s="157" t="s">
        <v>222</v>
      </c>
      <c r="BQ2" s="158" t="s">
        <v>309</v>
      </c>
      <c r="BR2" s="104" t="s">
        <v>325</v>
      </c>
      <c r="BS2" s="104" t="s">
        <v>336</v>
      </c>
      <c r="BT2" s="104" t="s">
        <v>349</v>
      </c>
      <c r="BU2" s="104" t="s">
        <v>495</v>
      </c>
      <c r="BV2" s="166" t="s">
        <v>400</v>
      </c>
      <c r="BW2" s="188" t="s">
        <v>405</v>
      </c>
      <c r="BX2" s="217" t="s">
        <v>551</v>
      </c>
      <c r="BY2" s="217" t="s">
        <v>550</v>
      </c>
      <c r="BZ2" s="220" t="s">
        <v>552</v>
      </c>
      <c r="CA2" s="265" t="s">
        <v>556</v>
      </c>
      <c r="CB2" s="265" t="s">
        <v>603</v>
      </c>
      <c r="CC2" s="220" t="s">
        <v>616</v>
      </c>
      <c r="CD2" s="220" t="s">
        <v>614</v>
      </c>
      <c r="CE2" s="265" t="s">
        <v>617</v>
      </c>
      <c r="CF2" s="220" t="s">
        <v>666</v>
      </c>
      <c r="CG2" s="265" t="s">
        <v>667</v>
      </c>
      <c r="CH2" s="265" t="s">
        <v>731</v>
      </c>
      <c r="CI2" s="265" t="s">
        <v>749</v>
      </c>
      <c r="CJ2" s="220" t="s">
        <v>751</v>
      </c>
      <c r="CK2" s="220" t="s">
        <v>752</v>
      </c>
      <c r="CL2" s="220" t="s">
        <v>768</v>
      </c>
      <c r="CM2" s="301" t="s">
        <v>769</v>
      </c>
      <c r="CN2" s="265" t="s">
        <v>753</v>
      </c>
      <c r="CO2" s="265" t="s">
        <v>765</v>
      </c>
      <c r="CP2" s="220" t="s">
        <v>770</v>
      </c>
      <c r="CQ2" s="278" t="s">
        <v>771</v>
      </c>
      <c r="CR2" s="220" t="s">
        <v>772</v>
      </c>
      <c r="CS2" s="278" t="s">
        <v>773</v>
      </c>
    </row>
    <row r="3" spans="1:98" x14ac:dyDescent="0.25">
      <c r="A3" s="127" t="s">
        <v>339</v>
      </c>
      <c r="B3" s="18" t="s">
        <v>224</v>
      </c>
      <c r="C3" s="203">
        <v>12570000000990</v>
      </c>
      <c r="D3" s="65" t="s">
        <v>28</v>
      </c>
      <c r="E3" s="65" t="s">
        <v>29</v>
      </c>
      <c r="F3" s="2" t="s">
        <v>33</v>
      </c>
      <c r="G3" s="71" t="s">
        <v>30</v>
      </c>
      <c r="H3" s="2" t="s">
        <v>144</v>
      </c>
      <c r="I3" s="46" t="s">
        <v>408</v>
      </c>
      <c r="J3" s="46">
        <v>1</v>
      </c>
      <c r="K3" s="88" t="s">
        <v>272</v>
      </c>
      <c r="L3" s="46"/>
      <c r="M3" s="19">
        <v>1</v>
      </c>
      <c r="N3" s="46"/>
      <c r="O3" s="46"/>
      <c r="P3" s="46">
        <v>1</v>
      </c>
      <c r="Q3" s="19">
        <v>1</v>
      </c>
      <c r="R3" s="19">
        <v>1</v>
      </c>
      <c r="S3" s="19">
        <v>1</v>
      </c>
      <c r="T3" s="20">
        <v>1</v>
      </c>
      <c r="U3" s="19"/>
      <c r="V3" s="19"/>
      <c r="X3" s="19">
        <v>1</v>
      </c>
      <c r="Y3" s="19">
        <v>1</v>
      </c>
      <c r="Z3" s="19">
        <v>1</v>
      </c>
      <c r="AA3" s="19">
        <v>1</v>
      </c>
      <c r="AB3" s="19"/>
      <c r="AC3" s="19"/>
      <c r="AD3" s="19">
        <v>1</v>
      </c>
      <c r="AE3" s="19"/>
      <c r="AF3" s="19"/>
      <c r="AG3" s="19"/>
      <c r="AH3" s="19"/>
      <c r="AI3" s="19"/>
      <c r="AJ3" s="19"/>
      <c r="AN3" s="46"/>
      <c r="AQ3" s="19"/>
      <c r="AR3" s="19"/>
      <c r="AS3" s="19"/>
      <c r="AT3" s="19"/>
      <c r="AU3" s="19"/>
      <c r="AV3" s="19"/>
      <c r="AW3" s="19"/>
      <c r="AY3" s="19">
        <v>1</v>
      </c>
      <c r="AZ3" s="20">
        <v>1</v>
      </c>
      <c r="BA3" s="19"/>
      <c r="BB3" s="19"/>
      <c r="BC3" s="19"/>
      <c r="BD3" s="19"/>
      <c r="BE3" s="19"/>
      <c r="BF3" s="19"/>
      <c r="BG3" s="19"/>
      <c r="BH3" s="20"/>
      <c r="BI3" s="19"/>
      <c r="BJ3" s="21"/>
      <c r="BK3" s="20"/>
      <c r="BL3" s="251">
        <v>2.13</v>
      </c>
      <c r="BM3" s="244">
        <f t="shared" ref="BM3" si="3">ROUND((BL3*1.5+4)*10,0)/10</f>
        <v>7.2</v>
      </c>
      <c r="BN3" s="244">
        <f t="shared" ref="BN3" si="4">ROUND((BL3*1.5+10)*10,0)/10</f>
        <v>13.2</v>
      </c>
      <c r="BO3" s="244">
        <f t="shared" ref="BO3" si="5">ROUND(BN3/0.7*1.22,0)</f>
        <v>23</v>
      </c>
      <c r="BP3" s="82">
        <v>124</v>
      </c>
      <c r="BQ3" s="159">
        <v>37</v>
      </c>
      <c r="BR3" s="118"/>
      <c r="BS3" s="119">
        <v>15</v>
      </c>
      <c r="BT3" s="119">
        <v>30</v>
      </c>
      <c r="BU3" s="119">
        <v>5</v>
      </c>
      <c r="BV3" s="181">
        <v>8</v>
      </c>
      <c r="BW3" s="182">
        <v>11</v>
      </c>
      <c r="BX3" s="143"/>
      <c r="BY3" s="181">
        <v>10</v>
      </c>
      <c r="BZ3" s="203">
        <v>10</v>
      </c>
      <c r="CA3" s="181">
        <v>10</v>
      </c>
      <c r="CB3" s="143"/>
      <c r="CC3" s="203"/>
      <c r="CD3" s="203">
        <v>10</v>
      </c>
      <c r="CE3" s="143"/>
      <c r="CF3" s="203"/>
      <c r="CG3" s="143"/>
      <c r="CH3" s="143"/>
      <c r="CI3" s="143"/>
      <c r="CJ3" s="203"/>
      <c r="CK3" s="203"/>
      <c r="CL3" s="203"/>
      <c r="CM3" s="203"/>
      <c r="CN3" s="143"/>
      <c r="CO3" s="143"/>
      <c r="CP3" s="203"/>
      <c r="CQ3" s="143"/>
      <c r="CR3" s="203"/>
      <c r="CS3" s="143"/>
      <c r="CT3" s="300"/>
    </row>
    <row r="4" spans="1:98" x14ac:dyDescent="0.25">
      <c r="A4" s="24" t="s">
        <v>90</v>
      </c>
      <c r="B4" s="18" t="s">
        <v>225</v>
      </c>
      <c r="C4" s="203">
        <v>12570000001011</v>
      </c>
      <c r="D4" s="65" t="s">
        <v>28</v>
      </c>
      <c r="E4" s="65" t="s">
        <v>29</v>
      </c>
      <c r="F4" s="2" t="s">
        <v>33</v>
      </c>
      <c r="G4" s="71" t="s">
        <v>31</v>
      </c>
      <c r="H4" s="2" t="s">
        <v>145</v>
      </c>
      <c r="I4" s="46" t="s">
        <v>409</v>
      </c>
      <c r="J4" s="46">
        <v>1</v>
      </c>
      <c r="K4" s="88" t="s">
        <v>272</v>
      </c>
      <c r="L4" s="46"/>
      <c r="M4" s="19"/>
      <c r="N4" s="46"/>
      <c r="O4" s="46"/>
      <c r="P4" s="46"/>
      <c r="Q4" s="19"/>
      <c r="R4" s="19"/>
      <c r="S4" s="19"/>
      <c r="T4" s="20"/>
      <c r="U4" s="19"/>
      <c r="V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M4" s="46"/>
      <c r="AQ4" s="19"/>
      <c r="AR4" s="19"/>
      <c r="AS4" s="19"/>
      <c r="AT4" s="19"/>
      <c r="AU4" s="19"/>
      <c r="AV4" s="19"/>
      <c r="AW4" s="19"/>
      <c r="AY4" s="19"/>
      <c r="AZ4" s="20"/>
      <c r="BA4" s="19">
        <v>1</v>
      </c>
      <c r="BB4" s="19">
        <v>1</v>
      </c>
      <c r="BC4" s="19">
        <v>1</v>
      </c>
      <c r="BD4" s="19"/>
      <c r="BE4" s="19">
        <v>1</v>
      </c>
      <c r="BF4" s="19">
        <v>1</v>
      </c>
      <c r="BG4" s="19"/>
      <c r="BH4" s="20">
        <v>1</v>
      </c>
      <c r="BI4" s="19"/>
      <c r="BJ4" s="19"/>
      <c r="BK4" s="20"/>
      <c r="BL4" s="251">
        <v>1.86</v>
      </c>
      <c r="BM4" s="244">
        <f t="shared" ref="BM4:BM5" si="6">ROUND((BL4*1.5+4)*10,0)/10</f>
        <v>6.8</v>
      </c>
      <c r="BN4" s="244">
        <f t="shared" ref="BN4:BN5" si="7">ROUND((BL4*1.5+10)*10,0)/10</f>
        <v>12.8</v>
      </c>
      <c r="BO4" s="244">
        <f t="shared" ref="BO4:BO5" si="8">ROUND(BN4/0.7*1.22,0)</f>
        <v>22</v>
      </c>
      <c r="BP4" s="82">
        <v>87</v>
      </c>
      <c r="BQ4" s="159">
        <v>17</v>
      </c>
      <c r="BR4" s="105"/>
      <c r="BS4" s="119">
        <v>6</v>
      </c>
      <c r="BT4" s="119">
        <v>11</v>
      </c>
      <c r="BU4" s="119">
        <v>15</v>
      </c>
      <c r="BV4" s="181">
        <v>10</v>
      </c>
      <c r="BW4" s="182">
        <v>10</v>
      </c>
      <c r="BX4" s="181">
        <v>5</v>
      </c>
      <c r="BY4" s="181">
        <v>8</v>
      </c>
      <c r="BZ4" s="203">
        <v>8</v>
      </c>
      <c r="CA4" s="181">
        <v>5</v>
      </c>
      <c r="CB4" s="181">
        <v>7</v>
      </c>
      <c r="CC4" s="203"/>
      <c r="CD4" s="203">
        <v>12</v>
      </c>
      <c r="CE4" s="181">
        <v>6</v>
      </c>
      <c r="CF4" s="203">
        <v>6</v>
      </c>
      <c r="CG4" s="143"/>
      <c r="CH4" s="181">
        <v>5</v>
      </c>
      <c r="CI4" s="143"/>
      <c r="CJ4" s="203"/>
      <c r="CK4" s="203"/>
      <c r="CL4" s="203">
        <v>5</v>
      </c>
      <c r="CM4" s="203"/>
      <c r="CN4" s="181">
        <v>3</v>
      </c>
      <c r="CO4" s="143"/>
      <c r="CP4" s="203">
        <v>3</v>
      </c>
      <c r="CQ4" s="143">
        <v>10</v>
      </c>
      <c r="CR4" s="203">
        <v>10</v>
      </c>
      <c r="CS4" s="143"/>
      <c r="CT4" s="300"/>
    </row>
    <row r="5" spans="1:98" x14ac:dyDescent="0.25">
      <c r="A5" s="24" t="s">
        <v>90</v>
      </c>
      <c r="B5" s="18" t="s">
        <v>225</v>
      </c>
      <c r="C5" s="203">
        <v>12570000008333</v>
      </c>
      <c r="D5" s="65" t="s">
        <v>28</v>
      </c>
      <c r="E5" s="65" t="s">
        <v>29</v>
      </c>
      <c r="F5" s="2" t="s">
        <v>33</v>
      </c>
      <c r="G5" s="168" t="s">
        <v>39</v>
      </c>
      <c r="H5" s="2" t="s">
        <v>562</v>
      </c>
      <c r="I5" s="46"/>
      <c r="J5" s="46"/>
      <c r="K5" s="88" t="s">
        <v>272</v>
      </c>
      <c r="L5" s="46"/>
      <c r="M5" s="19"/>
      <c r="N5" s="46"/>
      <c r="O5" s="46"/>
      <c r="P5" s="46"/>
      <c r="Q5" s="19"/>
      <c r="R5" s="19"/>
      <c r="S5" s="19"/>
      <c r="T5" s="20"/>
      <c r="U5" s="19"/>
      <c r="V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M5" s="46"/>
      <c r="AQ5" s="19"/>
      <c r="AR5" s="19"/>
      <c r="AS5" s="19"/>
      <c r="AT5" s="19"/>
      <c r="AU5" s="19"/>
      <c r="AV5" s="19"/>
      <c r="AW5" s="19"/>
      <c r="AY5" s="19"/>
      <c r="AZ5" s="20"/>
      <c r="BA5" s="19"/>
      <c r="BB5" s="19"/>
      <c r="BC5" s="19"/>
      <c r="BD5" s="19">
        <v>1</v>
      </c>
      <c r="BE5" s="19"/>
      <c r="BF5" s="19"/>
      <c r="BG5" s="19">
        <v>1</v>
      </c>
      <c r="BH5" s="20"/>
      <c r="BI5" s="19"/>
      <c r="BJ5" s="19"/>
      <c r="BK5" s="20"/>
      <c r="BL5" s="251">
        <v>1.61</v>
      </c>
      <c r="BM5" s="244">
        <f t="shared" si="6"/>
        <v>6.4</v>
      </c>
      <c r="BN5" s="244">
        <f t="shared" si="7"/>
        <v>12.4</v>
      </c>
      <c r="BO5" s="244">
        <f t="shared" si="8"/>
        <v>22</v>
      </c>
      <c r="BP5" s="82">
        <v>5</v>
      </c>
      <c r="BQ5" s="159">
        <v>5</v>
      </c>
      <c r="BR5" s="105"/>
      <c r="BS5" s="119"/>
      <c r="BT5" s="107"/>
      <c r="BU5" s="107"/>
      <c r="BV5" s="196"/>
      <c r="BW5" s="197"/>
      <c r="BX5" s="196"/>
      <c r="BY5" s="196"/>
      <c r="BZ5" s="203"/>
      <c r="CA5" s="143"/>
      <c r="CB5" s="181">
        <v>5</v>
      </c>
      <c r="CC5" s="203"/>
      <c r="CD5" s="203">
        <v>5</v>
      </c>
      <c r="CE5" s="143"/>
      <c r="CF5" s="203"/>
      <c r="CG5" s="143"/>
      <c r="CH5" s="181">
        <v>12</v>
      </c>
      <c r="CI5" s="143"/>
      <c r="CJ5" s="203"/>
      <c r="CK5" s="203">
        <v>2</v>
      </c>
      <c r="CL5" s="203">
        <v>10</v>
      </c>
      <c r="CM5" s="203"/>
      <c r="CN5" s="181">
        <v>4</v>
      </c>
      <c r="CO5" s="143"/>
      <c r="CP5" s="203">
        <v>4</v>
      </c>
      <c r="CQ5" s="143"/>
      <c r="CR5" s="203"/>
      <c r="CS5" s="143"/>
      <c r="CT5" s="300"/>
    </row>
    <row r="6" spans="1:98" x14ac:dyDescent="0.25">
      <c r="A6" s="24" t="s">
        <v>91</v>
      </c>
      <c r="B6" s="18" t="s">
        <v>226</v>
      </c>
      <c r="C6" s="203">
        <v>12570000001006</v>
      </c>
      <c r="D6" s="65" t="s">
        <v>28</v>
      </c>
      <c r="E6" s="65" t="s">
        <v>29</v>
      </c>
      <c r="F6" s="2" t="s">
        <v>33</v>
      </c>
      <c r="G6" s="71" t="s">
        <v>32</v>
      </c>
      <c r="H6" s="2" t="s">
        <v>146</v>
      </c>
      <c r="I6" s="46" t="s">
        <v>410</v>
      </c>
      <c r="J6" s="46">
        <v>1</v>
      </c>
      <c r="K6" s="88" t="s">
        <v>272</v>
      </c>
      <c r="L6" s="46"/>
      <c r="M6" s="19"/>
      <c r="N6" s="46"/>
      <c r="O6" s="46"/>
      <c r="P6" s="46"/>
      <c r="Q6" s="19"/>
      <c r="R6" s="19"/>
      <c r="S6" s="19"/>
      <c r="T6" s="20"/>
      <c r="U6" s="19"/>
      <c r="V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M6" s="46"/>
      <c r="AQ6" s="19"/>
      <c r="AR6" s="19"/>
      <c r="AS6" s="19"/>
      <c r="AT6" s="19"/>
      <c r="AU6" s="19"/>
      <c r="AV6" s="19"/>
      <c r="AW6" s="19"/>
      <c r="AY6" s="19"/>
      <c r="AZ6" s="20"/>
      <c r="BA6" s="19"/>
      <c r="BB6" s="19"/>
      <c r="BC6" s="19"/>
      <c r="BD6" s="19"/>
      <c r="BE6" s="19"/>
      <c r="BF6" s="19"/>
      <c r="BG6" s="19"/>
      <c r="BH6" s="20"/>
      <c r="BI6" s="19">
        <v>1</v>
      </c>
      <c r="BJ6" s="19">
        <v>1</v>
      </c>
      <c r="BK6" s="20">
        <v>1</v>
      </c>
      <c r="BL6" s="251">
        <v>3.1829999999999998</v>
      </c>
      <c r="BM6" s="244">
        <f t="shared" ref="BM6:BM92" si="9">ROUND((BL6*1.5+4)*10,0)/10</f>
        <v>8.8000000000000007</v>
      </c>
      <c r="BN6" s="244">
        <f t="shared" ref="BN6:BN92" si="10">ROUND((BL6*1.5+10)*10,0)/10</f>
        <v>14.8</v>
      </c>
      <c r="BO6" s="244">
        <f t="shared" ref="BO6:BO92" si="11">ROUND(BN6/0.7*1.22,0)</f>
        <v>26</v>
      </c>
      <c r="BP6" s="82">
        <v>3</v>
      </c>
      <c r="BQ6" s="159">
        <v>2</v>
      </c>
      <c r="BR6" s="106">
        <v>1</v>
      </c>
      <c r="BS6" s="119">
        <v>2</v>
      </c>
      <c r="BT6" s="137"/>
      <c r="BU6" s="137"/>
      <c r="BV6" s="143"/>
      <c r="BW6" s="170"/>
      <c r="BX6" s="143"/>
      <c r="BY6" s="143"/>
      <c r="BZ6" s="203"/>
      <c r="CA6" s="143"/>
      <c r="CB6" s="143"/>
      <c r="CC6" s="203"/>
      <c r="CD6" s="203"/>
      <c r="CE6" s="143"/>
      <c r="CF6" s="203"/>
      <c r="CG6" s="143"/>
      <c r="CH6" s="143"/>
      <c r="CI6" s="143"/>
      <c r="CJ6" s="203"/>
      <c r="CK6" s="203"/>
      <c r="CL6" s="203"/>
      <c r="CM6" s="203"/>
      <c r="CN6" s="143"/>
      <c r="CO6" s="143"/>
      <c r="CP6" s="203"/>
      <c r="CQ6" s="143"/>
      <c r="CR6" s="203"/>
      <c r="CS6" s="143"/>
      <c r="CT6" s="300"/>
    </row>
    <row r="7" spans="1:98" x14ac:dyDescent="0.25">
      <c r="A7" s="127" t="s">
        <v>340</v>
      </c>
      <c r="B7" s="18" t="s">
        <v>224</v>
      </c>
      <c r="C7" s="203">
        <v>12570000000990</v>
      </c>
      <c r="D7" s="70" t="s">
        <v>28</v>
      </c>
      <c r="E7" s="70" t="s">
        <v>29</v>
      </c>
      <c r="F7" s="1" t="s">
        <v>33</v>
      </c>
      <c r="G7" s="110" t="s">
        <v>37</v>
      </c>
      <c r="H7" s="1" t="s">
        <v>338</v>
      </c>
      <c r="I7" s="46" t="s">
        <v>411</v>
      </c>
      <c r="J7" s="46">
        <v>1</v>
      </c>
      <c r="K7" s="88" t="s">
        <v>272</v>
      </c>
      <c r="L7" s="46">
        <v>0</v>
      </c>
      <c r="M7" s="111"/>
      <c r="N7" s="114">
        <v>1</v>
      </c>
      <c r="O7" s="114">
        <v>1</v>
      </c>
      <c r="P7" s="46"/>
      <c r="Q7" s="19"/>
      <c r="R7" s="19"/>
      <c r="S7" s="19"/>
      <c r="T7" s="112"/>
      <c r="U7" s="111">
        <v>1</v>
      </c>
      <c r="V7" s="111">
        <v>1</v>
      </c>
      <c r="W7" s="46">
        <v>1</v>
      </c>
      <c r="X7" s="19"/>
      <c r="Y7" s="19"/>
      <c r="Z7" s="19"/>
      <c r="AA7" s="19"/>
      <c r="AB7" s="19"/>
      <c r="AC7" s="19"/>
      <c r="AD7" s="19"/>
      <c r="AE7" s="19">
        <v>1</v>
      </c>
      <c r="AF7" s="19">
        <v>1</v>
      </c>
      <c r="AG7" s="19">
        <v>1</v>
      </c>
      <c r="AH7" s="19">
        <v>1</v>
      </c>
      <c r="AI7" s="19">
        <v>1</v>
      </c>
      <c r="AJ7" s="46" t="s">
        <v>755</v>
      </c>
      <c r="AK7" s="46">
        <v>1</v>
      </c>
      <c r="AL7" s="46">
        <v>1</v>
      </c>
      <c r="AM7" s="46">
        <v>1</v>
      </c>
      <c r="AN7" s="46">
        <v>1</v>
      </c>
      <c r="AO7" s="46">
        <v>1</v>
      </c>
      <c r="AP7" s="46">
        <v>1</v>
      </c>
      <c r="AQ7" s="19">
        <v>1</v>
      </c>
      <c r="AR7" s="19">
        <v>1</v>
      </c>
      <c r="AS7" s="19">
        <v>1</v>
      </c>
      <c r="AT7" s="19">
        <v>1</v>
      </c>
      <c r="AU7" s="19"/>
      <c r="AV7" s="19"/>
      <c r="AW7" s="19">
        <v>1</v>
      </c>
      <c r="AX7" s="46">
        <v>1</v>
      </c>
      <c r="AY7" s="19"/>
      <c r="AZ7" s="20"/>
      <c r="BA7" s="19"/>
      <c r="BB7" s="19"/>
      <c r="BC7" s="19"/>
      <c r="BD7" s="19"/>
      <c r="BE7" s="19"/>
      <c r="BF7" s="19"/>
      <c r="BG7" s="19"/>
      <c r="BH7" s="20"/>
      <c r="BI7" s="19"/>
      <c r="BJ7" s="19"/>
      <c r="BK7" s="20"/>
      <c r="BL7" s="251">
        <v>1.23</v>
      </c>
      <c r="BM7" s="244">
        <f t="shared" si="9"/>
        <v>5.8</v>
      </c>
      <c r="BN7" s="244">
        <f t="shared" si="10"/>
        <v>11.8</v>
      </c>
      <c r="BO7" s="244">
        <f t="shared" si="11"/>
        <v>21</v>
      </c>
      <c r="BP7" s="82">
        <v>13</v>
      </c>
      <c r="BQ7" s="159">
        <v>14</v>
      </c>
      <c r="BR7" s="106"/>
      <c r="BS7" s="125"/>
      <c r="BT7" s="137"/>
      <c r="BU7" s="119" t="s">
        <v>496</v>
      </c>
      <c r="BV7" s="181">
        <v>10</v>
      </c>
      <c r="BW7" s="182">
        <v>2</v>
      </c>
      <c r="BX7" s="143"/>
      <c r="BY7" s="143"/>
      <c r="BZ7" s="203"/>
      <c r="CA7" s="143"/>
      <c r="CB7" s="143"/>
      <c r="CC7" s="203"/>
      <c r="CD7" s="203"/>
      <c r="CE7" s="143"/>
      <c r="CF7" s="203"/>
      <c r="CG7" s="143"/>
      <c r="CH7" s="181">
        <v>5</v>
      </c>
      <c r="CI7" s="143"/>
      <c r="CJ7" s="203"/>
      <c r="CK7" s="203">
        <v>5</v>
      </c>
      <c r="CL7" s="203"/>
      <c r="CM7" s="203"/>
      <c r="CN7" s="143"/>
      <c r="CO7" s="181">
        <v>5</v>
      </c>
      <c r="CP7" s="203">
        <v>5</v>
      </c>
      <c r="CQ7" s="143">
        <v>5</v>
      </c>
      <c r="CR7" s="203">
        <v>5</v>
      </c>
      <c r="CS7" s="143"/>
      <c r="CT7" s="300"/>
    </row>
    <row r="8" spans="1:98" x14ac:dyDescent="0.25">
      <c r="A8" s="127" t="s">
        <v>503</v>
      </c>
      <c r="B8" s="18" t="s">
        <v>504</v>
      </c>
      <c r="C8" s="203">
        <v>12570000008332</v>
      </c>
      <c r="D8" s="70" t="s">
        <v>28</v>
      </c>
      <c r="E8" s="70" t="s">
        <v>29</v>
      </c>
      <c r="F8" s="1" t="s">
        <v>33</v>
      </c>
      <c r="G8" s="110" t="s">
        <v>38</v>
      </c>
      <c r="H8" s="1" t="s">
        <v>505</v>
      </c>
      <c r="I8" s="46"/>
      <c r="J8" s="46">
        <v>1</v>
      </c>
      <c r="K8" s="88" t="s">
        <v>272</v>
      </c>
      <c r="L8" s="114">
        <v>1</v>
      </c>
      <c r="M8" s="111"/>
      <c r="N8" s="111"/>
      <c r="O8" s="111"/>
      <c r="P8" s="46"/>
      <c r="Q8" s="19"/>
      <c r="R8" s="19"/>
      <c r="S8" s="19"/>
      <c r="T8" s="112"/>
      <c r="U8" s="111"/>
      <c r="V8" s="111"/>
      <c r="X8" s="19"/>
      <c r="Y8" s="19"/>
      <c r="Z8" s="19"/>
      <c r="AA8" s="19"/>
      <c r="AB8" s="19">
        <v>1</v>
      </c>
      <c r="AC8" s="19">
        <v>1</v>
      </c>
      <c r="AD8" s="19"/>
      <c r="AE8" s="19"/>
      <c r="AF8" s="19"/>
      <c r="AG8" s="19"/>
      <c r="AH8" s="19"/>
      <c r="AI8" s="19"/>
      <c r="AJ8" s="19"/>
      <c r="AM8" s="46"/>
      <c r="AQ8" s="19"/>
      <c r="AR8" s="19"/>
      <c r="AS8" s="19"/>
      <c r="AT8" s="19"/>
      <c r="AU8" s="19"/>
      <c r="AV8" s="19"/>
      <c r="AW8" s="19"/>
      <c r="AY8" s="19"/>
      <c r="AZ8" s="20"/>
      <c r="BA8" s="19"/>
      <c r="BB8" s="19"/>
      <c r="BC8" s="19"/>
      <c r="BD8" s="19"/>
      <c r="BE8" s="19"/>
      <c r="BF8" s="19"/>
      <c r="BG8" s="19"/>
      <c r="BH8" s="20"/>
      <c r="BI8" s="19"/>
      <c r="BJ8" s="19"/>
      <c r="BK8" s="20"/>
      <c r="BL8" s="252">
        <v>1.81</v>
      </c>
      <c r="BM8" s="244">
        <f t="shared" si="9"/>
        <v>6.7</v>
      </c>
      <c r="BN8" s="244">
        <f t="shared" si="10"/>
        <v>12.7</v>
      </c>
      <c r="BO8" s="244">
        <f t="shared" si="11"/>
        <v>22</v>
      </c>
      <c r="BP8" s="82">
        <v>4</v>
      </c>
      <c r="BQ8" s="159">
        <v>12</v>
      </c>
      <c r="BR8" s="106"/>
      <c r="BS8" s="125"/>
      <c r="BT8" s="137"/>
      <c r="BU8" s="107"/>
      <c r="BV8" s="196"/>
      <c r="BW8" s="197"/>
      <c r="BX8" s="143"/>
      <c r="BY8" s="181">
        <v>15</v>
      </c>
      <c r="BZ8" s="203">
        <v>15</v>
      </c>
      <c r="CA8" s="143"/>
      <c r="CB8" s="143"/>
      <c r="CC8" s="203"/>
      <c r="CD8" s="203"/>
      <c r="CE8" s="143"/>
      <c r="CF8" s="203"/>
      <c r="CG8" s="143"/>
      <c r="CH8" s="143"/>
      <c r="CI8" s="143"/>
      <c r="CJ8" s="203"/>
      <c r="CK8" s="203"/>
      <c r="CL8" s="203"/>
      <c r="CM8" s="203"/>
      <c r="CN8" s="181">
        <v>3</v>
      </c>
      <c r="CO8" s="143"/>
      <c r="CP8" s="203">
        <v>3</v>
      </c>
      <c r="CQ8" s="143">
        <v>5</v>
      </c>
      <c r="CR8" s="203">
        <v>5</v>
      </c>
      <c r="CS8" s="143">
        <v>5</v>
      </c>
      <c r="CT8" s="300"/>
    </row>
    <row r="9" spans="1:98" x14ac:dyDescent="0.25">
      <c r="A9" s="24" t="s">
        <v>91</v>
      </c>
      <c r="B9" s="18" t="s">
        <v>504</v>
      </c>
      <c r="C9" s="203">
        <v>12570000001008</v>
      </c>
      <c r="D9" s="70" t="s">
        <v>28</v>
      </c>
      <c r="E9" s="70" t="s">
        <v>29</v>
      </c>
      <c r="F9" s="1" t="s">
        <v>33</v>
      </c>
      <c r="G9" s="110" t="s">
        <v>40</v>
      </c>
      <c r="H9" s="1" t="s">
        <v>754</v>
      </c>
      <c r="I9" s="46"/>
      <c r="J9" s="46"/>
      <c r="K9" s="88" t="s">
        <v>272</v>
      </c>
      <c r="L9" s="111"/>
      <c r="M9" s="111"/>
      <c r="N9" s="111"/>
      <c r="O9" s="111"/>
      <c r="P9" s="46"/>
      <c r="Q9" s="19"/>
      <c r="R9" s="19"/>
      <c r="S9" s="19"/>
      <c r="T9" s="112"/>
      <c r="U9" s="111"/>
      <c r="V9" s="111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M9" s="46"/>
      <c r="AQ9" s="19"/>
      <c r="AR9" s="19"/>
      <c r="AS9" s="19"/>
      <c r="AT9" s="19"/>
      <c r="AU9" s="19">
        <v>1</v>
      </c>
      <c r="AV9" s="19">
        <v>1</v>
      </c>
      <c r="AW9" s="19"/>
      <c r="AY9" s="19"/>
      <c r="AZ9" s="20"/>
      <c r="BA9" s="19"/>
      <c r="BB9" s="19"/>
      <c r="BC9" s="19"/>
      <c r="BD9" s="19"/>
      <c r="BE9" s="19"/>
      <c r="BF9" s="19"/>
      <c r="BG9" s="19"/>
      <c r="BH9" s="20"/>
      <c r="BI9" s="19"/>
      <c r="BJ9" s="19"/>
      <c r="BK9" s="20"/>
      <c r="BL9" s="252">
        <v>1.83</v>
      </c>
      <c r="BM9" s="244">
        <f t="shared" ref="BM9" si="12">ROUND((BL9*1.5+4)*10,0)/10</f>
        <v>6.7</v>
      </c>
      <c r="BN9" s="244">
        <f t="shared" ref="BN9" si="13">ROUND((BL9*1.5+10)*10,0)/10</f>
        <v>12.7</v>
      </c>
      <c r="BO9" s="244">
        <f t="shared" ref="BO9" si="14">ROUND(BN9/0.7*1.22,0)</f>
        <v>22</v>
      </c>
      <c r="BP9" s="82">
        <v>5</v>
      </c>
      <c r="BQ9" s="159">
        <v>5</v>
      </c>
      <c r="BR9" s="106"/>
      <c r="BS9" s="125"/>
      <c r="BT9" s="137"/>
      <c r="BU9" s="107"/>
      <c r="BV9" s="196"/>
      <c r="BW9" s="197"/>
      <c r="BX9" s="143"/>
      <c r="BY9" s="196"/>
      <c r="BZ9" s="203"/>
      <c r="CA9" s="143"/>
      <c r="CB9" s="143"/>
      <c r="CC9" s="203"/>
      <c r="CD9" s="203"/>
      <c r="CE9" s="143"/>
      <c r="CF9" s="203"/>
      <c r="CG9" s="181">
        <v>5</v>
      </c>
      <c r="CH9" s="181">
        <v>35</v>
      </c>
      <c r="CI9" s="143"/>
      <c r="CJ9" s="203"/>
      <c r="CK9" s="203"/>
      <c r="CL9" s="203">
        <v>15</v>
      </c>
      <c r="CM9" s="203">
        <v>20</v>
      </c>
      <c r="CN9" s="181">
        <v>5</v>
      </c>
      <c r="CO9" s="143"/>
      <c r="CP9" s="203">
        <v>5</v>
      </c>
      <c r="CQ9" s="143"/>
      <c r="CR9" s="203"/>
      <c r="CS9" s="143"/>
      <c r="CT9" s="300"/>
    </row>
    <row r="10" spans="1:98" x14ac:dyDescent="0.25">
      <c r="A10" s="24" t="s">
        <v>92</v>
      </c>
      <c r="B10" s="18" t="s">
        <v>227</v>
      </c>
      <c r="C10" s="203">
        <v>12170000004334</v>
      </c>
      <c r="D10" s="65" t="s">
        <v>28</v>
      </c>
      <c r="E10" s="65" t="s">
        <v>29</v>
      </c>
      <c r="F10" s="2" t="s">
        <v>34</v>
      </c>
      <c r="G10" s="71" t="s">
        <v>30</v>
      </c>
      <c r="H10" s="2" t="s">
        <v>147</v>
      </c>
      <c r="I10" s="46" t="s">
        <v>412</v>
      </c>
      <c r="J10" s="46">
        <v>1</v>
      </c>
      <c r="K10" s="88" t="s">
        <v>273</v>
      </c>
      <c r="L10" s="46">
        <v>1</v>
      </c>
      <c r="M10" s="19">
        <v>1</v>
      </c>
      <c r="N10" s="46">
        <v>1</v>
      </c>
      <c r="O10" s="46">
        <v>1</v>
      </c>
      <c r="P10" s="46">
        <v>1</v>
      </c>
      <c r="Q10" s="19"/>
      <c r="R10" s="19"/>
      <c r="S10" s="19">
        <v>1</v>
      </c>
      <c r="T10" s="20">
        <v>1</v>
      </c>
      <c r="U10" s="19"/>
      <c r="V10" s="19"/>
      <c r="X10" s="19">
        <v>1</v>
      </c>
      <c r="Y10" s="19">
        <v>1</v>
      </c>
      <c r="Z10" s="19">
        <v>1</v>
      </c>
      <c r="AA10" s="19">
        <v>1</v>
      </c>
      <c r="AB10" s="19"/>
      <c r="AC10" s="19"/>
      <c r="AD10" s="19">
        <v>1</v>
      </c>
      <c r="AE10" s="19">
        <v>1</v>
      </c>
      <c r="AF10" s="19">
        <v>1</v>
      </c>
      <c r="AG10" s="19">
        <v>1</v>
      </c>
      <c r="AH10" s="19">
        <v>1</v>
      </c>
      <c r="AI10" s="19">
        <v>1</v>
      </c>
      <c r="AJ10" s="46" t="s">
        <v>755</v>
      </c>
      <c r="AK10" s="46">
        <v>1</v>
      </c>
      <c r="AL10" s="46">
        <v>1</v>
      </c>
      <c r="AM10" s="46">
        <v>1</v>
      </c>
      <c r="AN10" s="46">
        <v>1</v>
      </c>
      <c r="AO10" s="46">
        <v>1</v>
      </c>
      <c r="AP10" s="46">
        <v>1</v>
      </c>
      <c r="AQ10" s="19">
        <v>1</v>
      </c>
      <c r="AR10" s="19">
        <v>1</v>
      </c>
      <c r="AS10" s="19">
        <v>1</v>
      </c>
      <c r="AT10" s="19">
        <v>1</v>
      </c>
      <c r="AU10" s="19"/>
      <c r="AV10" s="19"/>
      <c r="AW10" s="19">
        <v>1</v>
      </c>
      <c r="AX10" s="46">
        <v>1</v>
      </c>
      <c r="AY10" s="19">
        <v>1</v>
      </c>
      <c r="AZ10" s="20">
        <v>1</v>
      </c>
      <c r="BA10" s="22">
        <v>1</v>
      </c>
      <c r="BB10" s="22">
        <v>1</v>
      </c>
      <c r="BC10" s="22">
        <v>1</v>
      </c>
      <c r="BD10" s="19">
        <v>1</v>
      </c>
      <c r="BE10" s="22">
        <v>1</v>
      </c>
      <c r="BF10" s="22">
        <v>1</v>
      </c>
      <c r="BG10" s="19">
        <v>1</v>
      </c>
      <c r="BH10" s="23">
        <v>1</v>
      </c>
      <c r="BI10" s="19"/>
      <c r="BJ10" s="19"/>
      <c r="BK10" s="20"/>
      <c r="BL10" s="251">
        <v>0.33</v>
      </c>
      <c r="BM10" s="244">
        <f t="shared" si="9"/>
        <v>4.5</v>
      </c>
      <c r="BN10" s="244">
        <f t="shared" si="10"/>
        <v>10.5</v>
      </c>
      <c r="BO10" s="244">
        <f t="shared" si="11"/>
        <v>18</v>
      </c>
      <c r="BP10" s="82">
        <v>93</v>
      </c>
      <c r="BQ10" s="159">
        <v>32</v>
      </c>
      <c r="BR10" s="105"/>
      <c r="BS10" s="105"/>
      <c r="BT10" s="119">
        <v>7</v>
      </c>
      <c r="BU10" s="119">
        <v>11</v>
      </c>
      <c r="BV10" s="181">
        <v>8</v>
      </c>
      <c r="BW10" s="182">
        <v>17</v>
      </c>
      <c r="BX10" s="143"/>
      <c r="BY10" s="143"/>
      <c r="BZ10" s="203"/>
      <c r="CA10" s="181">
        <v>5</v>
      </c>
      <c r="CB10" s="181">
        <v>15</v>
      </c>
      <c r="CC10" s="203"/>
      <c r="CD10" s="203">
        <v>20</v>
      </c>
      <c r="CE10" s="143"/>
      <c r="CF10" s="203"/>
      <c r="CG10" s="143"/>
      <c r="CH10" s="181">
        <v>10</v>
      </c>
      <c r="CI10" s="143"/>
      <c r="CJ10" s="203"/>
      <c r="CK10" s="203">
        <v>10</v>
      </c>
      <c r="CL10" s="203"/>
      <c r="CM10" s="203"/>
      <c r="CN10" s="143"/>
      <c r="CO10" s="143"/>
      <c r="CP10" s="203"/>
      <c r="CQ10" s="143"/>
      <c r="CR10" s="203"/>
      <c r="CS10" s="143"/>
      <c r="CT10" s="300"/>
    </row>
    <row r="11" spans="1:98" x14ac:dyDescent="0.25">
      <c r="A11" s="24" t="s">
        <v>93</v>
      </c>
      <c r="B11" s="18" t="s">
        <v>228</v>
      </c>
      <c r="C11" s="203">
        <v>12170000004330</v>
      </c>
      <c r="D11" s="65" t="s">
        <v>28</v>
      </c>
      <c r="E11" s="65" t="s">
        <v>29</v>
      </c>
      <c r="F11" s="2" t="s">
        <v>34</v>
      </c>
      <c r="G11" s="71" t="s">
        <v>31</v>
      </c>
      <c r="H11" s="2" t="s">
        <v>148</v>
      </c>
      <c r="I11" s="46" t="s">
        <v>413</v>
      </c>
      <c r="J11" s="46">
        <v>1</v>
      </c>
      <c r="K11" s="88" t="s">
        <v>273</v>
      </c>
      <c r="L11" s="46"/>
      <c r="M11" s="19"/>
      <c r="N11" s="46"/>
      <c r="O11" s="46"/>
      <c r="P11" s="46"/>
      <c r="Q11" s="19"/>
      <c r="R11" s="19"/>
      <c r="S11" s="19"/>
      <c r="T11" s="20"/>
      <c r="U11" s="19"/>
      <c r="V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M11" s="46"/>
      <c r="AQ11" s="19"/>
      <c r="AR11" s="19"/>
      <c r="AS11" s="19"/>
      <c r="AT11" s="19"/>
      <c r="AU11" s="19"/>
      <c r="AV11" s="19"/>
      <c r="AW11" s="19"/>
      <c r="AY11" s="19"/>
      <c r="AZ11" s="20"/>
      <c r="BA11" s="19"/>
      <c r="BB11" s="19"/>
      <c r="BC11" s="19"/>
      <c r="BD11" s="19"/>
      <c r="BE11" s="19"/>
      <c r="BF11" s="19"/>
      <c r="BG11" s="19"/>
      <c r="BH11" s="20"/>
      <c r="BI11" s="19">
        <v>1</v>
      </c>
      <c r="BJ11" s="19">
        <v>1</v>
      </c>
      <c r="BK11" s="23">
        <v>1</v>
      </c>
      <c r="BL11" s="251">
        <v>0.68200000000000005</v>
      </c>
      <c r="BM11" s="244">
        <f t="shared" si="9"/>
        <v>5</v>
      </c>
      <c r="BN11" s="244">
        <f t="shared" si="10"/>
        <v>11</v>
      </c>
      <c r="BO11" s="244">
        <f t="shared" si="11"/>
        <v>19</v>
      </c>
      <c r="BP11" s="82">
        <v>2</v>
      </c>
      <c r="BQ11" s="159">
        <v>3</v>
      </c>
      <c r="BR11" s="119">
        <v>1</v>
      </c>
      <c r="BS11" s="107"/>
      <c r="BT11" s="137"/>
      <c r="BU11" s="137"/>
      <c r="BV11" s="143"/>
      <c r="BW11" s="170"/>
      <c r="BX11" s="143"/>
      <c r="BY11" s="143"/>
      <c r="BZ11" s="203"/>
      <c r="CA11" s="143"/>
      <c r="CB11" s="143"/>
      <c r="CC11" s="203"/>
      <c r="CD11" s="203"/>
      <c r="CE11" s="143"/>
      <c r="CF11" s="203"/>
      <c r="CG11" s="143"/>
      <c r="CH11" s="143"/>
      <c r="CI11" s="143"/>
      <c r="CJ11" s="203"/>
      <c r="CK11" s="203"/>
      <c r="CL11" s="203"/>
      <c r="CM11" s="203"/>
      <c r="CN11" s="143"/>
      <c r="CO11" s="143"/>
      <c r="CP11" s="203"/>
      <c r="CQ11" s="143"/>
      <c r="CR11" s="203"/>
      <c r="CS11" s="143"/>
      <c r="CT11" s="300"/>
    </row>
    <row r="12" spans="1:98" x14ac:dyDescent="0.25">
      <c r="A12" s="127" t="s">
        <v>363</v>
      </c>
      <c r="B12" s="18" t="s">
        <v>362</v>
      </c>
      <c r="C12" s="203">
        <v>12170000004331</v>
      </c>
      <c r="D12" s="65" t="s">
        <v>28</v>
      </c>
      <c r="E12" s="65" t="s">
        <v>29</v>
      </c>
      <c r="F12" s="2" t="s">
        <v>34</v>
      </c>
      <c r="G12" s="71" t="s">
        <v>32</v>
      </c>
      <c r="H12" s="1" t="s">
        <v>367</v>
      </c>
      <c r="I12" s="46" t="s">
        <v>414</v>
      </c>
      <c r="J12" s="46">
        <v>1</v>
      </c>
      <c r="K12" s="88" t="s">
        <v>273</v>
      </c>
      <c r="L12" s="46"/>
      <c r="M12" s="19"/>
      <c r="N12" s="46"/>
      <c r="O12" s="46"/>
      <c r="P12" s="46"/>
      <c r="Q12" s="19">
        <v>1</v>
      </c>
      <c r="R12" s="19">
        <v>1</v>
      </c>
      <c r="S12" s="19"/>
      <c r="T12" s="20"/>
      <c r="U12" s="19">
        <v>1</v>
      </c>
      <c r="V12" s="19">
        <v>1</v>
      </c>
      <c r="W12" s="46">
        <v>1</v>
      </c>
      <c r="X12" s="19"/>
      <c r="Y12" s="19"/>
      <c r="Z12" s="19"/>
      <c r="AA12" s="19"/>
      <c r="AB12" s="279">
        <v>1</v>
      </c>
      <c r="AC12" s="279">
        <v>1</v>
      </c>
      <c r="AD12" s="19"/>
      <c r="AE12" s="19"/>
      <c r="AF12" s="19"/>
      <c r="AG12" s="19"/>
      <c r="AH12" s="19"/>
      <c r="AI12" s="19"/>
      <c r="AJ12" s="19"/>
      <c r="AM12" s="46"/>
      <c r="AQ12" s="19"/>
      <c r="AR12" s="19"/>
      <c r="AS12" s="19"/>
      <c r="AT12" s="19"/>
      <c r="AU12" s="19"/>
      <c r="AV12" s="19"/>
      <c r="AW12" s="19"/>
      <c r="AY12" s="19"/>
      <c r="AZ12" s="20"/>
      <c r="BA12" s="19"/>
      <c r="BB12" s="19"/>
      <c r="BC12" s="19"/>
      <c r="BD12" s="19"/>
      <c r="BE12" s="19"/>
      <c r="BF12" s="19"/>
      <c r="BG12" s="19"/>
      <c r="BH12" s="20"/>
      <c r="BI12" s="19"/>
      <c r="BJ12" s="19"/>
      <c r="BK12" s="20"/>
      <c r="BL12" s="251">
        <v>0.46</v>
      </c>
      <c r="BM12" s="244">
        <f t="shared" si="9"/>
        <v>4.7</v>
      </c>
      <c r="BN12" s="244">
        <f t="shared" si="10"/>
        <v>10.7</v>
      </c>
      <c r="BO12" s="244">
        <f t="shared" si="11"/>
        <v>19</v>
      </c>
      <c r="BP12" s="82">
        <v>1</v>
      </c>
      <c r="BQ12" s="159">
        <v>9</v>
      </c>
      <c r="BR12" s="107"/>
      <c r="BS12" s="107"/>
      <c r="BT12" s="137"/>
      <c r="BU12" s="119">
        <v>5</v>
      </c>
      <c r="BV12" s="143"/>
      <c r="BW12" s="170"/>
      <c r="BX12" s="181">
        <v>5</v>
      </c>
      <c r="BY12" s="143"/>
      <c r="BZ12" s="203"/>
      <c r="CA12" s="143"/>
      <c r="CB12" s="143"/>
      <c r="CC12" s="203"/>
      <c r="CD12" s="203"/>
      <c r="CE12" s="143"/>
      <c r="CF12" s="203"/>
      <c r="CG12" s="143"/>
      <c r="CH12" s="143"/>
      <c r="CI12" s="143"/>
      <c r="CJ12" s="203"/>
      <c r="CK12" s="203"/>
      <c r="CL12" s="203"/>
      <c r="CM12" s="203"/>
      <c r="CN12" s="143"/>
      <c r="CO12" s="143"/>
      <c r="CP12" s="203"/>
      <c r="CQ12" s="143"/>
      <c r="CR12" s="203"/>
      <c r="CS12" s="143"/>
      <c r="CT12" s="300"/>
    </row>
    <row r="13" spans="1:98" x14ac:dyDescent="0.25">
      <c r="A13" s="127" t="s">
        <v>506</v>
      </c>
      <c r="B13" s="18" t="s">
        <v>362</v>
      </c>
      <c r="C13" s="203">
        <v>12170000004328</v>
      </c>
      <c r="D13" s="65" t="s">
        <v>28</v>
      </c>
      <c r="E13" s="65" t="s">
        <v>29</v>
      </c>
      <c r="F13" s="2" t="s">
        <v>34</v>
      </c>
      <c r="G13" s="71" t="s">
        <v>37</v>
      </c>
      <c r="H13" s="1" t="s">
        <v>507</v>
      </c>
      <c r="I13" s="46"/>
      <c r="J13" s="46">
        <v>1</v>
      </c>
      <c r="K13" s="88" t="s">
        <v>273</v>
      </c>
      <c r="L13" s="46"/>
      <c r="M13" s="19"/>
      <c r="N13" s="46"/>
      <c r="O13" s="46"/>
      <c r="P13" s="46"/>
      <c r="Q13" s="19"/>
      <c r="R13" s="19"/>
      <c r="S13" s="19"/>
      <c r="T13" s="20"/>
      <c r="U13" s="19"/>
      <c r="V13" s="19"/>
      <c r="X13" s="19"/>
      <c r="Y13" s="19"/>
      <c r="Z13" s="19"/>
      <c r="AA13" s="19"/>
      <c r="AB13" s="76">
        <v>1</v>
      </c>
      <c r="AC13" s="76">
        <v>1</v>
      </c>
      <c r="AD13" s="19"/>
      <c r="AE13" s="19"/>
      <c r="AF13" s="19"/>
      <c r="AG13" s="19"/>
      <c r="AH13" s="19"/>
      <c r="AI13" s="19"/>
      <c r="AJ13" s="19"/>
      <c r="AM13" s="46"/>
      <c r="AQ13" s="19"/>
      <c r="AR13" s="19"/>
      <c r="AS13" s="19"/>
      <c r="AT13" s="19"/>
      <c r="AU13" s="19"/>
      <c r="AV13" s="19"/>
      <c r="AW13" s="19"/>
      <c r="AY13" s="19"/>
      <c r="AZ13" s="20"/>
      <c r="BA13" s="19"/>
      <c r="BB13" s="19"/>
      <c r="BC13" s="19"/>
      <c r="BD13" s="19"/>
      <c r="BE13" s="19"/>
      <c r="BF13" s="19"/>
      <c r="BG13" s="19"/>
      <c r="BH13" s="20"/>
      <c r="BI13" s="19"/>
      <c r="BJ13" s="19"/>
      <c r="BK13" s="20"/>
      <c r="BL13" s="252">
        <v>0.52</v>
      </c>
      <c r="BM13" s="244">
        <f t="shared" si="9"/>
        <v>4.8</v>
      </c>
      <c r="BN13" s="244">
        <f t="shared" si="10"/>
        <v>10.8</v>
      </c>
      <c r="BO13" s="244">
        <f t="shared" si="11"/>
        <v>19</v>
      </c>
      <c r="BP13" s="82">
        <v>1</v>
      </c>
      <c r="BQ13" s="159">
        <v>14</v>
      </c>
      <c r="BR13" s="107"/>
      <c r="BS13" s="107"/>
      <c r="BT13" s="137"/>
      <c r="BU13" s="107"/>
      <c r="BV13" s="143"/>
      <c r="BW13" s="170"/>
      <c r="BX13" s="143"/>
      <c r="BY13" s="181">
        <v>10</v>
      </c>
      <c r="BZ13" s="203">
        <v>10</v>
      </c>
      <c r="CA13" s="143"/>
      <c r="CB13" s="181">
        <v>5</v>
      </c>
      <c r="CC13" s="203"/>
      <c r="CD13" s="203">
        <v>5</v>
      </c>
      <c r="CE13" s="143"/>
      <c r="CF13" s="203"/>
      <c r="CG13" s="143"/>
      <c r="CH13" s="143"/>
      <c r="CI13" s="143"/>
      <c r="CJ13" s="203"/>
      <c r="CK13" s="203"/>
      <c r="CL13" s="203"/>
      <c r="CM13" s="203"/>
      <c r="CN13" s="143"/>
      <c r="CO13" s="143"/>
      <c r="CP13" s="203"/>
      <c r="CQ13" s="143"/>
      <c r="CR13" s="203"/>
      <c r="CS13" s="143"/>
      <c r="CT13" s="300"/>
    </row>
    <row r="14" spans="1:98" x14ac:dyDescent="0.25">
      <c r="A14" s="24" t="s">
        <v>93</v>
      </c>
      <c r="B14" s="18" t="s">
        <v>362</v>
      </c>
      <c r="C14" s="203">
        <v>12170000028885</v>
      </c>
      <c r="D14" s="65" t="s">
        <v>28</v>
      </c>
      <c r="E14" s="65" t="s">
        <v>29</v>
      </c>
      <c r="F14" s="2" t="s">
        <v>34</v>
      </c>
      <c r="G14" s="71" t="s">
        <v>38</v>
      </c>
      <c r="H14" s="1" t="s">
        <v>661</v>
      </c>
      <c r="I14" s="46"/>
      <c r="J14" s="46"/>
      <c r="K14" s="88" t="s">
        <v>273</v>
      </c>
      <c r="L14" s="46"/>
      <c r="M14" s="19"/>
      <c r="N14" s="46"/>
      <c r="O14" s="46"/>
      <c r="P14" s="46"/>
      <c r="Q14" s="19"/>
      <c r="R14" s="19"/>
      <c r="S14" s="19"/>
      <c r="T14" s="20"/>
      <c r="U14" s="19"/>
      <c r="V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M14" s="46"/>
      <c r="AQ14" s="19"/>
      <c r="AR14" s="19"/>
      <c r="AS14" s="19"/>
      <c r="AT14" s="19"/>
      <c r="AU14" s="19">
        <v>1</v>
      </c>
      <c r="AV14" s="19">
        <v>1</v>
      </c>
      <c r="AW14" s="19"/>
      <c r="AY14" s="19"/>
      <c r="AZ14" s="20"/>
      <c r="BA14" s="19"/>
      <c r="BB14" s="19"/>
      <c r="BC14" s="19"/>
      <c r="BD14" s="19"/>
      <c r="BE14" s="19"/>
      <c r="BF14" s="19"/>
      <c r="BG14" s="19"/>
      <c r="BH14" s="20"/>
      <c r="BI14" s="19"/>
      <c r="BJ14" s="19"/>
      <c r="BK14" s="20"/>
      <c r="BL14" s="252">
        <v>0.63</v>
      </c>
      <c r="BM14" s="244">
        <f t="shared" ref="BM14" si="15">ROUND((BL14*1.5+4)*10,0)/10</f>
        <v>4.9000000000000004</v>
      </c>
      <c r="BN14" s="244">
        <f t="shared" ref="BN14" si="16">ROUND((BL14*1.5+10)*10,0)/10</f>
        <v>10.9</v>
      </c>
      <c r="BO14" s="244">
        <f t="shared" ref="BO14" si="17">ROUND(BN14/0.7*1.22,0)</f>
        <v>19</v>
      </c>
      <c r="BP14" s="82">
        <v>0</v>
      </c>
      <c r="BQ14" s="159">
        <v>10</v>
      </c>
      <c r="BR14" s="107"/>
      <c r="BS14" s="107"/>
      <c r="BT14" s="137"/>
      <c r="BU14" s="107"/>
      <c r="BV14" s="143"/>
      <c r="BW14" s="170"/>
      <c r="BX14" s="143"/>
      <c r="BY14" s="196"/>
      <c r="BZ14" s="203"/>
      <c r="CA14" s="143"/>
      <c r="CB14" s="143"/>
      <c r="CC14" s="203"/>
      <c r="CD14" s="203"/>
      <c r="CE14" s="143"/>
      <c r="CF14" s="203"/>
      <c r="CG14" s="181">
        <v>10</v>
      </c>
      <c r="CH14" s="143"/>
      <c r="CI14" s="143"/>
      <c r="CJ14" s="203"/>
      <c r="CK14" s="203"/>
      <c r="CL14" s="203"/>
      <c r="CM14" s="203"/>
      <c r="CN14" s="143"/>
      <c r="CO14" s="143"/>
      <c r="CP14" s="203"/>
      <c r="CQ14" s="143"/>
      <c r="CR14" s="203"/>
      <c r="CS14" s="143"/>
      <c r="CT14" s="300"/>
    </row>
    <row r="15" spans="1:98" x14ac:dyDescent="0.25">
      <c r="A15" s="24" t="s">
        <v>94</v>
      </c>
      <c r="B15" s="18" t="s">
        <v>229</v>
      </c>
      <c r="C15" s="203">
        <v>12970000000325</v>
      </c>
      <c r="D15" s="65" t="s">
        <v>28</v>
      </c>
      <c r="E15" s="65" t="s">
        <v>29</v>
      </c>
      <c r="F15" s="2" t="s">
        <v>35</v>
      </c>
      <c r="G15" s="71" t="s">
        <v>30</v>
      </c>
      <c r="H15" s="2" t="s">
        <v>149</v>
      </c>
      <c r="I15" s="46" t="s">
        <v>415</v>
      </c>
      <c r="J15" s="46">
        <v>1</v>
      </c>
      <c r="K15" s="88" t="s">
        <v>274</v>
      </c>
      <c r="L15" s="46"/>
      <c r="M15" s="19">
        <v>1</v>
      </c>
      <c r="N15" s="46"/>
      <c r="O15" s="46"/>
      <c r="P15" s="46">
        <v>1</v>
      </c>
      <c r="Q15" s="19"/>
      <c r="R15" s="19"/>
      <c r="S15" s="19">
        <v>1</v>
      </c>
      <c r="T15" s="20">
        <v>1</v>
      </c>
      <c r="U15" s="19"/>
      <c r="V15" s="19"/>
      <c r="X15" s="19">
        <v>1</v>
      </c>
      <c r="Y15" s="19">
        <v>1</v>
      </c>
      <c r="Z15" s="19">
        <v>1</v>
      </c>
      <c r="AA15" s="27">
        <v>1</v>
      </c>
      <c r="AB15" s="19"/>
      <c r="AC15" s="19"/>
      <c r="AD15" s="19">
        <v>1</v>
      </c>
      <c r="AE15" s="19">
        <v>1</v>
      </c>
      <c r="AF15" s="19">
        <v>1</v>
      </c>
      <c r="AG15" s="19">
        <v>1</v>
      </c>
      <c r="AH15" s="19">
        <v>1</v>
      </c>
      <c r="AI15" s="19">
        <v>1</v>
      </c>
      <c r="AJ15" s="46" t="s">
        <v>755</v>
      </c>
      <c r="AK15" s="46">
        <v>1</v>
      </c>
      <c r="AL15" s="46">
        <v>1</v>
      </c>
      <c r="AM15" s="46">
        <v>1</v>
      </c>
      <c r="AN15" s="46">
        <v>1</v>
      </c>
      <c r="AO15" s="46">
        <v>1</v>
      </c>
      <c r="AP15" s="46">
        <v>1</v>
      </c>
      <c r="AQ15" s="19">
        <v>1</v>
      </c>
      <c r="AR15" s="19">
        <v>1</v>
      </c>
      <c r="AS15" s="19">
        <v>1</v>
      </c>
      <c r="AT15" s="19">
        <v>1</v>
      </c>
      <c r="AU15" s="19"/>
      <c r="AV15" s="19"/>
      <c r="AW15" s="19">
        <v>1</v>
      </c>
      <c r="AX15" s="46">
        <v>1</v>
      </c>
      <c r="AY15" s="19">
        <v>1</v>
      </c>
      <c r="AZ15" s="20">
        <v>1</v>
      </c>
      <c r="BA15" s="19"/>
      <c r="BB15" s="19"/>
      <c r="BC15" s="19"/>
      <c r="BD15" s="19"/>
      <c r="BE15" s="19"/>
      <c r="BF15" s="19"/>
      <c r="BG15" s="19"/>
      <c r="BH15" s="20"/>
      <c r="BI15" s="19"/>
      <c r="BJ15" s="19"/>
      <c r="BK15" s="20"/>
      <c r="BL15" s="251">
        <v>1.1399999999999999</v>
      </c>
      <c r="BM15" s="244">
        <f t="shared" si="9"/>
        <v>5.7</v>
      </c>
      <c r="BN15" s="244">
        <f t="shared" si="10"/>
        <v>11.7</v>
      </c>
      <c r="BO15" s="244">
        <f t="shared" si="11"/>
        <v>20</v>
      </c>
      <c r="BP15" s="82">
        <v>21</v>
      </c>
      <c r="BQ15" s="159">
        <v>12</v>
      </c>
      <c r="BR15" s="105"/>
      <c r="BS15" s="105"/>
      <c r="BT15" s="119">
        <v>2</v>
      </c>
      <c r="BU15" s="107"/>
      <c r="BV15" s="181">
        <v>2</v>
      </c>
      <c r="BW15" s="170"/>
      <c r="BX15" s="143"/>
      <c r="BY15" s="143"/>
      <c r="BZ15" s="203"/>
      <c r="CA15" s="143"/>
      <c r="CB15" s="143"/>
      <c r="CC15" s="203"/>
      <c r="CD15" s="203"/>
      <c r="CE15" s="143"/>
      <c r="CF15" s="203"/>
      <c r="CG15" s="143"/>
      <c r="CH15" s="181">
        <v>5</v>
      </c>
      <c r="CI15" s="143"/>
      <c r="CJ15" s="203"/>
      <c r="CK15" s="203">
        <v>5</v>
      </c>
      <c r="CL15" s="203"/>
      <c r="CM15" s="203"/>
      <c r="CN15" s="143"/>
      <c r="CO15" s="143"/>
      <c r="CP15" s="203"/>
      <c r="CQ15" s="143"/>
      <c r="CR15" s="203"/>
      <c r="CS15" s="143"/>
      <c r="CT15" s="300"/>
    </row>
    <row r="16" spans="1:98" x14ac:dyDescent="0.25">
      <c r="A16" s="24" t="s">
        <v>95</v>
      </c>
      <c r="B16" s="18" t="s">
        <v>230</v>
      </c>
      <c r="C16" s="203"/>
      <c r="D16" s="65" t="s">
        <v>28</v>
      </c>
      <c r="E16" s="65" t="s">
        <v>29</v>
      </c>
      <c r="F16" s="2" t="s">
        <v>35</v>
      </c>
      <c r="G16" s="71" t="s">
        <v>31</v>
      </c>
      <c r="H16" s="2" t="s">
        <v>150</v>
      </c>
      <c r="I16" s="46" t="s">
        <v>416</v>
      </c>
      <c r="J16" s="46">
        <v>1</v>
      </c>
      <c r="K16" s="88" t="s">
        <v>274</v>
      </c>
      <c r="L16" s="46"/>
      <c r="M16" s="19"/>
      <c r="N16" s="46"/>
      <c r="O16" s="46"/>
      <c r="P16" s="46"/>
      <c r="Q16" s="19"/>
      <c r="R16" s="19"/>
      <c r="S16" s="19"/>
      <c r="T16" s="20"/>
      <c r="U16" s="19"/>
      <c r="V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M16" s="46"/>
      <c r="AQ16" s="19"/>
      <c r="AR16" s="19"/>
      <c r="AS16" s="19"/>
      <c r="AT16" s="19"/>
      <c r="AU16" s="19"/>
      <c r="AV16" s="19"/>
      <c r="AW16" s="19"/>
      <c r="AY16" s="19"/>
      <c r="AZ16" s="20"/>
      <c r="BA16" s="19">
        <v>1</v>
      </c>
      <c r="BB16" s="19">
        <v>1</v>
      </c>
      <c r="BC16" s="19">
        <v>1</v>
      </c>
      <c r="BD16" s="19"/>
      <c r="BE16" s="19">
        <v>1</v>
      </c>
      <c r="BF16" s="19">
        <v>1</v>
      </c>
      <c r="BG16" s="19"/>
      <c r="BH16" s="20">
        <v>1</v>
      </c>
      <c r="BI16" s="19"/>
      <c r="BJ16" s="19"/>
      <c r="BK16" s="20"/>
      <c r="BL16" s="261">
        <v>1.29</v>
      </c>
      <c r="BM16" s="244">
        <f t="shared" si="9"/>
        <v>5.9</v>
      </c>
      <c r="BN16" s="244">
        <f t="shared" si="10"/>
        <v>11.9</v>
      </c>
      <c r="BO16" s="244">
        <f t="shared" si="11"/>
        <v>21</v>
      </c>
      <c r="BP16" s="82">
        <v>0</v>
      </c>
      <c r="BQ16" s="159">
        <v>7</v>
      </c>
      <c r="BR16" s="105"/>
      <c r="BS16" s="105"/>
      <c r="BT16" s="137"/>
      <c r="BU16" s="137"/>
      <c r="BV16" s="143"/>
      <c r="BW16" s="170"/>
      <c r="BX16" s="143"/>
      <c r="BY16" s="143"/>
      <c r="BZ16" s="203"/>
      <c r="CA16" s="143"/>
      <c r="CB16" s="143"/>
      <c r="CC16" s="203"/>
      <c r="CD16" s="203"/>
      <c r="CE16" s="143"/>
      <c r="CF16" s="203"/>
      <c r="CG16" s="143"/>
      <c r="CH16" s="143"/>
      <c r="CI16" s="143"/>
      <c r="CJ16" s="203"/>
      <c r="CK16" s="203"/>
      <c r="CL16" s="203"/>
      <c r="CM16" s="203"/>
      <c r="CN16" s="143"/>
      <c r="CO16" s="143"/>
      <c r="CP16" s="203"/>
      <c r="CQ16" s="143"/>
      <c r="CR16" s="203"/>
      <c r="CS16" s="143"/>
      <c r="CT16" s="300"/>
    </row>
    <row r="17" spans="1:98" x14ac:dyDescent="0.25">
      <c r="A17" s="24" t="s">
        <v>95</v>
      </c>
      <c r="B17" s="18" t="s">
        <v>230</v>
      </c>
      <c r="C17" s="203">
        <v>12970000000299</v>
      </c>
      <c r="D17" s="65" t="s">
        <v>28</v>
      </c>
      <c r="E17" s="65" t="s">
        <v>29</v>
      </c>
      <c r="F17" s="2" t="s">
        <v>35</v>
      </c>
      <c r="G17" s="71" t="s">
        <v>37</v>
      </c>
      <c r="H17" s="2" t="s">
        <v>563</v>
      </c>
      <c r="I17" s="46"/>
      <c r="J17" s="46"/>
      <c r="K17" s="88" t="s">
        <v>274</v>
      </c>
      <c r="L17" s="46"/>
      <c r="M17" s="19"/>
      <c r="N17" s="46"/>
      <c r="O17" s="46"/>
      <c r="P17" s="46"/>
      <c r="Q17" s="19"/>
      <c r="R17" s="19"/>
      <c r="S17" s="19"/>
      <c r="T17" s="20"/>
      <c r="U17" s="19"/>
      <c r="V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M17" s="46"/>
      <c r="AQ17" s="19"/>
      <c r="AR17" s="19"/>
      <c r="AS17" s="19"/>
      <c r="AT17" s="19"/>
      <c r="AU17" s="19">
        <v>1</v>
      </c>
      <c r="AV17" s="19">
        <v>1</v>
      </c>
      <c r="AW17" s="19"/>
      <c r="AY17" s="19"/>
      <c r="AZ17" s="20"/>
      <c r="BA17" s="19"/>
      <c r="BB17" s="19"/>
      <c r="BC17" s="19"/>
      <c r="BD17" s="19">
        <v>1</v>
      </c>
      <c r="BE17" s="19"/>
      <c r="BF17" s="19"/>
      <c r="BG17" s="19">
        <v>1</v>
      </c>
      <c r="BH17" s="20"/>
      <c r="BI17" s="19"/>
      <c r="BJ17" s="19"/>
      <c r="BK17" s="20"/>
      <c r="BL17" s="252">
        <v>1.22</v>
      </c>
      <c r="BM17" s="244">
        <f t="shared" si="9"/>
        <v>5.8</v>
      </c>
      <c r="BN17" s="244">
        <f t="shared" si="10"/>
        <v>11.8</v>
      </c>
      <c r="BO17" s="244">
        <f t="shared" si="11"/>
        <v>21</v>
      </c>
      <c r="BP17" s="82">
        <v>0</v>
      </c>
      <c r="BQ17" s="159">
        <v>5</v>
      </c>
      <c r="BR17" s="105"/>
      <c r="BS17" s="105"/>
      <c r="BT17" s="137"/>
      <c r="BU17" s="137"/>
      <c r="BV17" s="143"/>
      <c r="BW17" s="170"/>
      <c r="BX17" s="143"/>
      <c r="BY17" s="143"/>
      <c r="BZ17" s="203"/>
      <c r="CA17" s="143"/>
      <c r="CB17" s="181">
        <v>5</v>
      </c>
      <c r="CC17" s="203"/>
      <c r="CD17" s="203">
        <v>5</v>
      </c>
      <c r="CE17" s="143"/>
      <c r="CF17" s="203"/>
      <c r="CG17" s="143"/>
      <c r="CH17" s="143"/>
      <c r="CI17" s="143"/>
      <c r="CJ17" s="203"/>
      <c r="CK17" s="203"/>
      <c r="CL17" s="203"/>
      <c r="CM17" s="203"/>
      <c r="CN17" s="143"/>
      <c r="CO17" s="143"/>
      <c r="CP17" s="203"/>
      <c r="CQ17" s="143"/>
      <c r="CR17" s="203"/>
      <c r="CS17" s="143"/>
      <c r="CT17" s="300"/>
    </row>
    <row r="18" spans="1:98" x14ac:dyDescent="0.25">
      <c r="A18" s="24" t="s">
        <v>96</v>
      </c>
      <c r="B18" s="29" t="s">
        <v>231</v>
      </c>
      <c r="C18" s="203"/>
      <c r="D18" s="65" t="s">
        <v>28</v>
      </c>
      <c r="E18" s="65" t="s">
        <v>29</v>
      </c>
      <c r="F18" s="2" t="s">
        <v>35</v>
      </c>
      <c r="G18" s="71" t="s">
        <v>32</v>
      </c>
      <c r="H18" s="2" t="s">
        <v>151</v>
      </c>
      <c r="I18" s="46" t="s">
        <v>417</v>
      </c>
      <c r="J18" s="46">
        <v>1</v>
      </c>
      <c r="K18" s="88" t="s">
        <v>274</v>
      </c>
      <c r="L18" s="46"/>
      <c r="M18" s="19"/>
      <c r="N18" s="46"/>
      <c r="O18" s="46"/>
      <c r="P18" s="46"/>
      <c r="Q18" s="19"/>
      <c r="R18" s="19"/>
      <c r="S18" s="19"/>
      <c r="T18" s="20"/>
      <c r="U18" s="19"/>
      <c r="V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M18" s="46"/>
      <c r="AQ18" s="19"/>
      <c r="AR18" s="19"/>
      <c r="AS18" s="19"/>
      <c r="AT18" s="19"/>
      <c r="AU18" s="19"/>
      <c r="AV18" s="19"/>
      <c r="AW18" s="19"/>
      <c r="AY18" s="19"/>
      <c r="AZ18" s="20"/>
      <c r="BA18" s="19"/>
      <c r="BB18" s="19"/>
      <c r="BC18" s="19"/>
      <c r="BD18" s="19"/>
      <c r="BE18" s="19"/>
      <c r="BF18" s="19"/>
      <c r="BG18" s="19"/>
      <c r="BH18" s="20"/>
      <c r="BI18" s="19">
        <v>1</v>
      </c>
      <c r="BJ18" s="19">
        <v>1</v>
      </c>
      <c r="BK18" s="20">
        <v>1</v>
      </c>
      <c r="BL18" s="266">
        <v>1.29</v>
      </c>
      <c r="BM18" s="244">
        <f t="shared" si="9"/>
        <v>5.9</v>
      </c>
      <c r="BN18" s="244">
        <f t="shared" si="10"/>
        <v>11.9</v>
      </c>
      <c r="BO18" s="244">
        <f t="shared" si="11"/>
        <v>21</v>
      </c>
      <c r="BP18" s="82">
        <v>0</v>
      </c>
      <c r="BQ18" s="159">
        <v>2</v>
      </c>
      <c r="BR18" s="108"/>
      <c r="BS18" s="108"/>
      <c r="BT18" s="138"/>
      <c r="BU18" s="138"/>
      <c r="BV18" s="144"/>
      <c r="BW18" s="171"/>
      <c r="BX18" s="144"/>
      <c r="BY18" s="144"/>
      <c r="BZ18" s="208"/>
      <c r="CA18" s="144"/>
      <c r="CB18" s="144"/>
      <c r="CC18" s="208"/>
      <c r="CD18" s="208"/>
      <c r="CE18" s="144"/>
      <c r="CF18" s="208"/>
      <c r="CG18" s="144"/>
      <c r="CH18" s="144"/>
      <c r="CI18" s="144"/>
      <c r="CJ18" s="208"/>
      <c r="CK18" s="208"/>
      <c r="CL18" s="208"/>
      <c r="CM18" s="208"/>
      <c r="CN18" s="144"/>
      <c r="CO18" s="144"/>
      <c r="CP18" s="208"/>
      <c r="CQ18" s="144"/>
      <c r="CR18" s="208"/>
      <c r="CS18" s="144"/>
      <c r="CT18" s="300"/>
    </row>
    <row r="19" spans="1:98" x14ac:dyDescent="0.25">
      <c r="A19" s="45" t="s">
        <v>24</v>
      </c>
      <c r="B19" s="25" t="s">
        <v>232</v>
      </c>
      <c r="C19" s="204" t="s">
        <v>97</v>
      </c>
      <c r="D19" s="66" t="s">
        <v>28</v>
      </c>
      <c r="E19" s="66" t="s">
        <v>29</v>
      </c>
      <c r="F19" s="5" t="s">
        <v>36</v>
      </c>
      <c r="G19" s="72" t="s">
        <v>30</v>
      </c>
      <c r="H19" s="5" t="s">
        <v>152</v>
      </c>
      <c r="I19" s="48" t="s">
        <v>418</v>
      </c>
      <c r="J19" s="48" t="s">
        <v>419</v>
      </c>
      <c r="K19" s="89" t="s">
        <v>275</v>
      </c>
      <c r="L19" s="48"/>
      <c r="M19" s="21">
        <v>1</v>
      </c>
      <c r="N19" s="48"/>
      <c r="O19" s="48"/>
      <c r="P19" s="48"/>
      <c r="Q19" s="21"/>
      <c r="R19" s="21"/>
      <c r="S19" s="21"/>
      <c r="T19" s="26"/>
      <c r="U19" s="21"/>
      <c r="V19" s="21"/>
      <c r="W19" s="273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73"/>
      <c r="AL19" s="273"/>
      <c r="AM19" s="48"/>
      <c r="AN19" s="273"/>
      <c r="AO19" s="273"/>
      <c r="AP19" s="273"/>
      <c r="AQ19" s="21"/>
      <c r="AR19" s="21"/>
      <c r="AS19" s="21"/>
      <c r="AT19" s="21"/>
      <c r="AU19" s="21"/>
      <c r="AV19" s="21"/>
      <c r="AW19" s="21"/>
      <c r="AX19" s="273"/>
      <c r="AY19" s="21"/>
      <c r="AZ19" s="26"/>
      <c r="BA19" s="21"/>
      <c r="BB19" s="21"/>
      <c r="BC19" s="21"/>
      <c r="BD19" s="21"/>
      <c r="BE19" s="21"/>
      <c r="BF19" s="21"/>
      <c r="BG19" s="21"/>
      <c r="BH19" s="26"/>
      <c r="BI19" s="21"/>
      <c r="BJ19" s="21"/>
      <c r="BK19" s="26"/>
      <c r="BL19" s="251">
        <v>5.2270000000000003</v>
      </c>
      <c r="BM19" s="244">
        <f t="shared" si="9"/>
        <v>11.8</v>
      </c>
      <c r="BN19" s="244">
        <f t="shared" si="10"/>
        <v>17.8</v>
      </c>
      <c r="BO19" s="244">
        <f t="shared" si="11"/>
        <v>31</v>
      </c>
      <c r="BP19" s="82">
        <v>3</v>
      </c>
      <c r="BQ19" s="159">
        <v>1</v>
      </c>
      <c r="BR19" s="119">
        <v>9</v>
      </c>
      <c r="BS19" s="107"/>
      <c r="BT19" s="137"/>
      <c r="BU19" s="137"/>
      <c r="BV19" s="143"/>
      <c r="BW19" s="170"/>
      <c r="BX19" s="143"/>
      <c r="BY19" s="143"/>
      <c r="BZ19" s="203"/>
      <c r="CA19" s="143"/>
      <c r="CB19" s="143"/>
      <c r="CC19" s="203"/>
      <c r="CD19" s="203"/>
      <c r="CE19" s="143"/>
      <c r="CF19" s="203"/>
      <c r="CG19" s="143"/>
      <c r="CH19" s="143"/>
      <c r="CI19" s="143"/>
      <c r="CJ19" s="203"/>
      <c r="CK19" s="203"/>
      <c r="CL19" s="203"/>
      <c r="CM19" s="203"/>
      <c r="CN19" s="143"/>
      <c r="CO19" s="143"/>
      <c r="CP19" s="203"/>
      <c r="CQ19" s="143"/>
      <c r="CR19" s="203"/>
      <c r="CS19" s="143"/>
      <c r="CT19" s="300"/>
    </row>
    <row r="20" spans="1:98" x14ac:dyDescent="0.25">
      <c r="A20" s="24" t="s">
        <v>24</v>
      </c>
      <c r="B20" s="18" t="s">
        <v>233</v>
      </c>
      <c r="C20" s="203" t="s">
        <v>98</v>
      </c>
      <c r="D20" s="65" t="s">
        <v>28</v>
      </c>
      <c r="E20" s="65" t="s">
        <v>29</v>
      </c>
      <c r="F20" s="2" t="s">
        <v>36</v>
      </c>
      <c r="G20" s="71" t="s">
        <v>31</v>
      </c>
      <c r="H20" s="2" t="s">
        <v>153</v>
      </c>
      <c r="I20" s="46"/>
      <c r="J20" s="46" t="s">
        <v>419</v>
      </c>
      <c r="K20" s="88" t="s">
        <v>275</v>
      </c>
      <c r="L20" s="46"/>
      <c r="M20" s="19"/>
      <c r="N20" s="46"/>
      <c r="O20" s="46"/>
      <c r="P20" s="46"/>
      <c r="Q20" s="19"/>
      <c r="R20" s="19"/>
      <c r="S20" s="19"/>
      <c r="T20" s="20">
        <v>1</v>
      </c>
      <c r="U20" s="19"/>
      <c r="V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M20" s="46"/>
      <c r="AQ20" s="19"/>
      <c r="AR20" s="19"/>
      <c r="AS20" s="19"/>
      <c r="AT20" s="19"/>
      <c r="AU20" s="19"/>
      <c r="AV20" s="19"/>
      <c r="AW20" s="19"/>
      <c r="AY20" s="19"/>
      <c r="AZ20" s="20"/>
      <c r="BA20" s="19"/>
      <c r="BB20" s="19"/>
      <c r="BC20" s="19"/>
      <c r="BD20" s="19"/>
      <c r="BE20" s="19"/>
      <c r="BF20" s="19"/>
      <c r="BG20" s="19"/>
      <c r="BH20" s="20"/>
      <c r="BI20" s="19"/>
      <c r="BJ20" s="19"/>
      <c r="BK20" s="20"/>
      <c r="BL20" s="251">
        <v>4.4939999999999998</v>
      </c>
      <c r="BM20" s="244">
        <f t="shared" si="9"/>
        <v>10.7</v>
      </c>
      <c r="BN20" s="244">
        <f t="shared" si="10"/>
        <v>16.7</v>
      </c>
      <c r="BO20" s="244">
        <f t="shared" si="11"/>
        <v>29</v>
      </c>
      <c r="BP20" s="82">
        <v>0</v>
      </c>
      <c r="BQ20" s="159">
        <v>0</v>
      </c>
      <c r="BR20" s="105"/>
      <c r="BS20" s="105"/>
      <c r="BT20" s="137"/>
      <c r="BU20" s="137"/>
      <c r="BV20" s="143"/>
      <c r="BW20" s="170"/>
      <c r="BX20" s="143"/>
      <c r="BY20" s="143"/>
      <c r="BZ20" s="203"/>
      <c r="CA20" s="143"/>
      <c r="CB20" s="143"/>
      <c r="CC20" s="203"/>
      <c r="CD20" s="203"/>
      <c r="CE20" s="143"/>
      <c r="CF20" s="203"/>
      <c r="CG20" s="143"/>
      <c r="CH20" s="143"/>
      <c r="CI20" s="143"/>
      <c r="CJ20" s="203"/>
      <c r="CK20" s="203"/>
      <c r="CL20" s="203"/>
      <c r="CM20" s="203"/>
      <c r="CN20" s="143"/>
      <c r="CO20" s="143"/>
      <c r="CP20" s="203"/>
      <c r="CQ20" s="143"/>
      <c r="CR20" s="203"/>
      <c r="CS20" s="143"/>
      <c r="CT20" s="300"/>
    </row>
    <row r="21" spans="1:98" x14ac:dyDescent="0.25">
      <c r="A21" s="24" t="s">
        <v>24</v>
      </c>
      <c r="B21" s="18" t="s">
        <v>234</v>
      </c>
      <c r="C21" s="203" t="s">
        <v>99</v>
      </c>
      <c r="D21" s="65" t="s">
        <v>28</v>
      </c>
      <c r="E21" s="65" t="s">
        <v>29</v>
      </c>
      <c r="F21" s="2" t="s">
        <v>36</v>
      </c>
      <c r="G21" s="71" t="s">
        <v>32</v>
      </c>
      <c r="H21" s="2" t="s">
        <v>154</v>
      </c>
      <c r="I21" s="46" t="s">
        <v>420</v>
      </c>
      <c r="J21" s="46" t="s">
        <v>419</v>
      </c>
      <c r="K21" s="88" t="s">
        <v>275</v>
      </c>
      <c r="L21" s="46"/>
      <c r="M21" s="19"/>
      <c r="N21" s="46"/>
      <c r="O21" s="46"/>
      <c r="P21" s="46"/>
      <c r="Q21" s="19"/>
      <c r="R21" s="19"/>
      <c r="S21" s="19"/>
      <c r="T21" s="20"/>
      <c r="U21" s="19"/>
      <c r="V21" s="19"/>
      <c r="X21" s="19">
        <v>1</v>
      </c>
      <c r="Y21" s="76">
        <v>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M21" s="46"/>
      <c r="AQ21" s="19"/>
      <c r="AR21" s="19"/>
      <c r="AS21" s="19"/>
      <c r="AT21" s="19"/>
      <c r="AU21" s="19"/>
      <c r="AV21" s="19"/>
      <c r="AW21" s="19"/>
      <c r="AY21" s="19"/>
      <c r="AZ21" s="20"/>
      <c r="BA21" s="19"/>
      <c r="BB21" s="19"/>
      <c r="BC21" s="19"/>
      <c r="BD21" s="19"/>
      <c r="BE21" s="19"/>
      <c r="BF21" s="19"/>
      <c r="BG21" s="19"/>
      <c r="BH21" s="20"/>
      <c r="BI21" s="19"/>
      <c r="BJ21" s="19"/>
      <c r="BK21" s="20"/>
      <c r="BL21" s="251">
        <v>6.8</v>
      </c>
      <c r="BM21" s="244">
        <f t="shared" si="9"/>
        <v>14.2</v>
      </c>
      <c r="BN21" s="244">
        <f t="shared" si="10"/>
        <v>20.2</v>
      </c>
      <c r="BO21" s="244">
        <f t="shared" si="11"/>
        <v>35</v>
      </c>
      <c r="BP21" s="82">
        <v>1</v>
      </c>
      <c r="BQ21" s="159">
        <v>1</v>
      </c>
      <c r="BR21" s="105"/>
      <c r="BS21" s="105"/>
      <c r="BT21" s="137"/>
      <c r="BU21" s="137"/>
      <c r="BV21" s="143"/>
      <c r="BW21" s="170"/>
      <c r="BX21" s="143"/>
      <c r="BY21" s="143"/>
      <c r="BZ21" s="203"/>
      <c r="CA21" s="143"/>
      <c r="CB21" s="143"/>
      <c r="CC21" s="203"/>
      <c r="CD21" s="203"/>
      <c r="CE21" s="143"/>
      <c r="CF21" s="203"/>
      <c r="CG21" s="143"/>
      <c r="CH21" s="143"/>
      <c r="CI21" s="143"/>
      <c r="CJ21" s="203"/>
      <c r="CK21" s="203"/>
      <c r="CL21" s="203"/>
      <c r="CM21" s="203"/>
      <c r="CN21" s="143"/>
      <c r="CO21" s="143"/>
      <c r="CP21" s="203"/>
      <c r="CQ21" s="143"/>
      <c r="CR21" s="203"/>
      <c r="CS21" s="143"/>
      <c r="CT21" s="300"/>
    </row>
    <row r="22" spans="1:98" x14ac:dyDescent="0.25">
      <c r="A22" s="24" t="s">
        <v>24</v>
      </c>
      <c r="B22" s="18" t="s">
        <v>235</v>
      </c>
      <c r="C22" s="203">
        <v>12170000006573</v>
      </c>
      <c r="D22" s="65" t="s">
        <v>28</v>
      </c>
      <c r="E22" s="65" t="s">
        <v>29</v>
      </c>
      <c r="F22" s="2" t="s">
        <v>36</v>
      </c>
      <c r="G22" s="71" t="s">
        <v>37</v>
      </c>
      <c r="H22" s="2" t="s">
        <v>155</v>
      </c>
      <c r="I22" s="46" t="s">
        <v>421</v>
      </c>
      <c r="J22" s="46" t="s">
        <v>419</v>
      </c>
      <c r="K22" s="88" t="s">
        <v>275</v>
      </c>
      <c r="L22" s="46"/>
      <c r="M22" s="19"/>
      <c r="N22" s="46"/>
      <c r="O22" s="46"/>
      <c r="P22" s="46"/>
      <c r="Q22" s="19"/>
      <c r="R22" s="19"/>
      <c r="S22" s="19"/>
      <c r="T22" s="20"/>
      <c r="U22" s="19"/>
      <c r="V22" s="19"/>
      <c r="X22" s="19"/>
      <c r="Y22" s="19"/>
      <c r="Z22" s="19">
        <v>1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M22" s="46"/>
      <c r="AQ22" s="19"/>
      <c r="AR22" s="19"/>
      <c r="AS22" s="19"/>
      <c r="AT22" s="19"/>
      <c r="AU22" s="19"/>
      <c r="AV22" s="19"/>
      <c r="AW22" s="19"/>
      <c r="AY22" s="19"/>
      <c r="AZ22" s="20"/>
      <c r="BA22" s="19"/>
      <c r="BB22" s="19"/>
      <c r="BC22" s="19"/>
      <c r="BD22" s="19"/>
      <c r="BE22" s="19"/>
      <c r="BF22" s="19"/>
      <c r="BG22" s="19"/>
      <c r="BH22" s="20"/>
      <c r="BI22" s="19"/>
      <c r="BJ22" s="19"/>
      <c r="BK22" s="20"/>
      <c r="BL22" s="251">
        <v>6.4779999999999998</v>
      </c>
      <c r="BM22" s="244">
        <f t="shared" si="9"/>
        <v>13.7</v>
      </c>
      <c r="BN22" s="244">
        <f t="shared" si="10"/>
        <v>19.7</v>
      </c>
      <c r="BO22" s="244">
        <f t="shared" si="11"/>
        <v>34</v>
      </c>
      <c r="BP22" s="82">
        <v>4</v>
      </c>
      <c r="BQ22" s="159">
        <v>9</v>
      </c>
      <c r="BR22" s="119">
        <v>4</v>
      </c>
      <c r="BS22" s="107"/>
      <c r="BT22" s="137"/>
      <c r="BU22" s="137"/>
      <c r="BV22" s="143"/>
      <c r="BW22" s="170"/>
      <c r="BX22" s="143"/>
      <c r="BY22" s="143"/>
      <c r="BZ22" s="203"/>
      <c r="CA22" s="181">
        <v>5</v>
      </c>
      <c r="CB22" s="143"/>
      <c r="CC22" s="203"/>
      <c r="CD22" s="203">
        <v>5</v>
      </c>
      <c r="CE22" s="143"/>
      <c r="CF22" s="203"/>
      <c r="CG22" s="143"/>
      <c r="CH22" s="143"/>
      <c r="CI22" s="143"/>
      <c r="CJ22" s="203"/>
      <c r="CK22" s="203"/>
      <c r="CL22" s="203"/>
      <c r="CM22" s="203"/>
      <c r="CN22" s="143"/>
      <c r="CO22" s="143"/>
      <c r="CP22" s="203"/>
      <c r="CQ22" s="143"/>
      <c r="CR22" s="203"/>
      <c r="CS22" s="143"/>
      <c r="CT22" s="300"/>
    </row>
    <row r="23" spans="1:98" x14ac:dyDescent="0.25">
      <c r="A23" s="24" t="s">
        <v>24</v>
      </c>
      <c r="B23" s="18" t="s">
        <v>540</v>
      </c>
      <c r="C23" s="203" t="s">
        <v>539</v>
      </c>
      <c r="D23" s="65" t="s">
        <v>28</v>
      </c>
      <c r="E23" s="65" t="s">
        <v>29</v>
      </c>
      <c r="F23" s="2" t="s">
        <v>36</v>
      </c>
      <c r="G23" s="168" t="s">
        <v>541</v>
      </c>
      <c r="H23" s="2" t="s">
        <v>542</v>
      </c>
      <c r="I23" s="46"/>
      <c r="J23" s="46" t="s">
        <v>543</v>
      </c>
      <c r="K23" s="88" t="s">
        <v>275</v>
      </c>
      <c r="L23" s="46"/>
      <c r="M23" s="19"/>
      <c r="N23" s="46"/>
      <c r="O23" s="46"/>
      <c r="P23" s="46"/>
      <c r="Q23" s="19"/>
      <c r="R23" s="19"/>
      <c r="S23" s="19"/>
      <c r="T23" s="20"/>
      <c r="U23" s="19"/>
      <c r="V23" s="19"/>
      <c r="X23" s="19"/>
      <c r="Y23" s="19"/>
      <c r="Z23" s="19"/>
      <c r="AA23" s="19">
        <v>1</v>
      </c>
      <c r="AB23" s="19"/>
      <c r="AC23" s="19"/>
      <c r="AD23" s="19"/>
      <c r="AE23" s="19"/>
      <c r="AF23" s="19"/>
      <c r="AG23" s="19"/>
      <c r="AH23" s="19"/>
      <c r="AI23" s="19"/>
      <c r="AJ23" s="19"/>
      <c r="AM23" s="46"/>
      <c r="AQ23" s="19"/>
      <c r="AR23" s="19"/>
      <c r="AS23" s="19"/>
      <c r="AT23" s="19"/>
      <c r="AU23" s="19"/>
      <c r="AV23" s="19"/>
      <c r="AW23" s="19"/>
      <c r="AY23" s="19"/>
      <c r="AZ23" s="20"/>
      <c r="BA23" s="19"/>
      <c r="BB23" s="19"/>
      <c r="BC23" s="19"/>
      <c r="BD23" s="19"/>
      <c r="BE23" s="19"/>
      <c r="BF23" s="19"/>
      <c r="BG23" s="19"/>
      <c r="BH23" s="20"/>
      <c r="BI23" s="19"/>
      <c r="BJ23" s="19"/>
      <c r="BK23" s="20"/>
      <c r="BL23" s="252">
        <v>8.24</v>
      </c>
      <c r="BM23" s="244">
        <f t="shared" si="9"/>
        <v>16.399999999999999</v>
      </c>
      <c r="BN23" s="244">
        <f t="shared" si="10"/>
        <v>22.4</v>
      </c>
      <c r="BO23" s="244">
        <f t="shared" si="11"/>
        <v>39</v>
      </c>
      <c r="BP23" s="82">
        <v>0</v>
      </c>
      <c r="BQ23" s="159">
        <v>5</v>
      </c>
      <c r="BR23" s="119"/>
      <c r="BS23" s="107"/>
      <c r="BT23" s="137"/>
      <c r="BU23" s="137"/>
      <c r="BV23" s="143"/>
      <c r="BW23" s="170"/>
      <c r="BX23" s="143"/>
      <c r="BY23" s="181">
        <v>5</v>
      </c>
      <c r="BZ23" s="203">
        <v>5</v>
      </c>
      <c r="CA23" s="143"/>
      <c r="CB23" s="143"/>
      <c r="CC23" s="203"/>
      <c r="CD23" s="203"/>
      <c r="CE23" s="143"/>
      <c r="CF23" s="203"/>
      <c r="CG23" s="143"/>
      <c r="CH23" s="143"/>
      <c r="CI23" s="143"/>
      <c r="CJ23" s="203"/>
      <c r="CK23" s="203"/>
      <c r="CL23" s="203"/>
      <c r="CM23" s="203"/>
      <c r="CN23" s="143"/>
      <c r="CO23" s="143"/>
      <c r="CP23" s="203"/>
      <c r="CQ23" s="143"/>
      <c r="CR23" s="203"/>
      <c r="CS23" s="143"/>
      <c r="CT23" s="300"/>
    </row>
    <row r="24" spans="1:98" x14ac:dyDescent="0.25">
      <c r="A24" s="24" t="s">
        <v>24</v>
      </c>
      <c r="B24" s="18" t="s">
        <v>535</v>
      </c>
      <c r="C24" s="203" t="s">
        <v>732</v>
      </c>
      <c r="D24" s="65" t="s">
        <v>28</v>
      </c>
      <c r="E24" s="65" t="s">
        <v>29</v>
      </c>
      <c r="F24" s="2" t="s">
        <v>36</v>
      </c>
      <c r="G24" s="71" t="s">
        <v>513</v>
      </c>
      <c r="H24" s="2" t="s">
        <v>512</v>
      </c>
      <c r="I24" s="46"/>
      <c r="J24" s="46" t="s">
        <v>419</v>
      </c>
      <c r="K24" s="88" t="s">
        <v>275</v>
      </c>
      <c r="L24" s="46"/>
      <c r="M24" s="19"/>
      <c r="N24" s="46"/>
      <c r="O24" s="46"/>
      <c r="P24" s="46"/>
      <c r="Q24" s="19"/>
      <c r="R24" s="19"/>
      <c r="S24" s="19"/>
      <c r="T24" s="20"/>
      <c r="U24" s="19"/>
      <c r="V24" s="19"/>
      <c r="X24" s="19"/>
      <c r="Y24" s="19"/>
      <c r="Z24" s="19"/>
      <c r="AA24" s="111"/>
      <c r="AB24" s="19">
        <v>1</v>
      </c>
      <c r="AC24" s="19">
        <v>1</v>
      </c>
      <c r="AD24" s="19"/>
      <c r="AE24" s="19"/>
      <c r="AF24" s="19"/>
      <c r="AG24" s="19"/>
      <c r="AH24" s="19"/>
      <c r="AI24" s="19"/>
      <c r="AJ24" s="19"/>
      <c r="AM24" s="46"/>
      <c r="AQ24" s="19"/>
      <c r="AR24" s="19"/>
      <c r="AS24" s="19"/>
      <c r="AT24" s="19"/>
      <c r="AU24" s="19"/>
      <c r="AV24" s="19"/>
      <c r="AW24" s="19"/>
      <c r="AY24" s="19"/>
      <c r="AZ24" s="20"/>
      <c r="BA24" s="19"/>
      <c r="BB24" s="19"/>
      <c r="BC24" s="19"/>
      <c r="BD24" s="19"/>
      <c r="BE24" s="19"/>
      <c r="BF24" s="19"/>
      <c r="BG24" s="19"/>
      <c r="BH24" s="20"/>
      <c r="BI24" s="19"/>
      <c r="BJ24" s="19"/>
      <c r="BK24" s="20"/>
      <c r="BL24" s="252">
        <v>4.88</v>
      </c>
      <c r="BM24" s="244">
        <f t="shared" si="9"/>
        <v>11.3</v>
      </c>
      <c r="BN24" s="244">
        <f t="shared" si="10"/>
        <v>17.3</v>
      </c>
      <c r="BO24" s="244">
        <f t="shared" si="11"/>
        <v>30</v>
      </c>
      <c r="BP24" s="82">
        <v>1</v>
      </c>
      <c r="BQ24" s="159">
        <v>4</v>
      </c>
      <c r="BR24" s="107"/>
      <c r="BS24" s="107"/>
      <c r="BT24" s="137"/>
      <c r="BU24" s="137"/>
      <c r="BV24" s="143"/>
      <c r="BW24" s="170"/>
      <c r="BX24" s="143"/>
      <c r="BY24" s="218" t="s">
        <v>553</v>
      </c>
      <c r="BZ24" s="203">
        <v>5</v>
      </c>
      <c r="CA24" s="143"/>
      <c r="CB24" s="143"/>
      <c r="CC24" s="203"/>
      <c r="CD24" s="203"/>
      <c r="CE24" s="143"/>
      <c r="CF24" s="203"/>
      <c r="CG24" s="143"/>
      <c r="CH24" s="143"/>
      <c r="CI24" s="143"/>
      <c r="CJ24" s="203"/>
      <c r="CK24" s="203"/>
      <c r="CL24" s="203"/>
      <c r="CM24" s="203"/>
      <c r="CN24" s="143"/>
      <c r="CO24" s="143"/>
      <c r="CP24" s="203"/>
      <c r="CQ24" s="143">
        <v>2</v>
      </c>
      <c r="CR24" s="203">
        <v>2</v>
      </c>
      <c r="CS24" s="143"/>
      <c r="CT24" s="300"/>
    </row>
    <row r="25" spans="1:98" ht="26.4" x14ac:dyDescent="0.25">
      <c r="A25" s="24" t="s">
        <v>24</v>
      </c>
      <c r="B25" s="18" t="s">
        <v>236</v>
      </c>
      <c r="C25" s="205" t="s">
        <v>347</v>
      </c>
      <c r="D25" s="70" t="s">
        <v>28</v>
      </c>
      <c r="E25" s="70" t="s">
        <v>29</v>
      </c>
      <c r="F25" s="1" t="s">
        <v>36</v>
      </c>
      <c r="G25" s="110" t="s">
        <v>38</v>
      </c>
      <c r="H25" s="1" t="s">
        <v>156</v>
      </c>
      <c r="I25" s="46" t="s">
        <v>422</v>
      </c>
      <c r="J25" s="46" t="s">
        <v>419</v>
      </c>
      <c r="K25" s="93" t="s">
        <v>275</v>
      </c>
      <c r="L25" s="46"/>
      <c r="M25" s="19"/>
      <c r="N25" s="46"/>
      <c r="O25" s="46"/>
      <c r="P25" s="46"/>
      <c r="Q25" s="19"/>
      <c r="R25" s="19"/>
      <c r="S25" s="19"/>
      <c r="T25" s="20"/>
      <c r="U25" s="19"/>
      <c r="V25" s="19"/>
      <c r="X25" s="19"/>
      <c r="Y25" s="19"/>
      <c r="Z25" s="19"/>
      <c r="AA25" s="19"/>
      <c r="AB25" s="19"/>
      <c r="AC25" s="19"/>
      <c r="AD25" s="19">
        <v>1</v>
      </c>
      <c r="AE25" s="19"/>
      <c r="AF25" s="19"/>
      <c r="AG25" s="19"/>
      <c r="AH25" s="19"/>
      <c r="AI25" s="19"/>
      <c r="AJ25" s="19"/>
      <c r="AM25" s="46"/>
      <c r="AQ25" s="19"/>
      <c r="AR25" s="19"/>
      <c r="AS25" s="19"/>
      <c r="AT25" s="19"/>
      <c r="AU25" s="19"/>
      <c r="AV25" s="19"/>
      <c r="AW25" s="19">
        <v>1</v>
      </c>
      <c r="AY25" s="19">
        <v>1</v>
      </c>
      <c r="AZ25" s="20"/>
      <c r="BA25" s="19"/>
      <c r="BB25" s="19"/>
      <c r="BC25" s="19"/>
      <c r="BD25" s="19"/>
      <c r="BE25" s="19"/>
      <c r="BF25" s="19"/>
      <c r="BG25" s="19"/>
      <c r="BH25" s="20"/>
      <c r="BI25" s="19"/>
      <c r="BJ25" s="19"/>
      <c r="BK25" s="20"/>
      <c r="BL25" s="251">
        <v>6.4779999999999998</v>
      </c>
      <c r="BM25" s="244">
        <f t="shared" si="9"/>
        <v>13.7</v>
      </c>
      <c r="BN25" s="244">
        <f t="shared" si="10"/>
        <v>19.7</v>
      </c>
      <c r="BO25" s="244">
        <f t="shared" si="11"/>
        <v>34</v>
      </c>
      <c r="BP25" s="82">
        <v>3</v>
      </c>
      <c r="BQ25" s="159">
        <v>3</v>
      </c>
      <c r="BR25" s="119">
        <v>1</v>
      </c>
      <c r="BS25" s="107"/>
      <c r="BT25" s="119">
        <v>2</v>
      </c>
      <c r="BU25" s="119">
        <v>1</v>
      </c>
      <c r="BV25" s="143"/>
      <c r="BW25" s="170"/>
      <c r="BX25" s="143"/>
      <c r="BY25" s="143"/>
      <c r="BZ25" s="203"/>
      <c r="CA25" s="143"/>
      <c r="CB25" s="143"/>
      <c r="CC25" s="203"/>
      <c r="CD25" s="203"/>
      <c r="CE25" s="143"/>
      <c r="CF25" s="203"/>
      <c r="CG25" s="143"/>
      <c r="CH25" s="143"/>
      <c r="CI25" s="143"/>
      <c r="CJ25" s="203"/>
      <c r="CK25" s="203"/>
      <c r="CL25" s="203"/>
      <c r="CM25" s="203"/>
      <c r="CN25" s="143"/>
      <c r="CO25" s="143"/>
      <c r="CP25" s="203"/>
      <c r="CQ25" s="143"/>
      <c r="CR25" s="203"/>
      <c r="CS25" s="143"/>
      <c r="CT25" s="300"/>
    </row>
    <row r="26" spans="1:98" x14ac:dyDescent="0.25">
      <c r="A26" s="24" t="s">
        <v>24</v>
      </c>
      <c r="B26" s="18" t="s">
        <v>237</v>
      </c>
      <c r="C26" s="203" t="s">
        <v>100</v>
      </c>
      <c r="D26" s="65" t="s">
        <v>28</v>
      </c>
      <c r="E26" s="65" t="s">
        <v>29</v>
      </c>
      <c r="F26" s="2" t="s">
        <v>36</v>
      </c>
      <c r="G26" s="71" t="s">
        <v>39</v>
      </c>
      <c r="H26" s="2" t="s">
        <v>157</v>
      </c>
      <c r="I26" s="46" t="s">
        <v>423</v>
      </c>
      <c r="J26" s="46" t="s">
        <v>419</v>
      </c>
      <c r="K26" s="88" t="s">
        <v>275</v>
      </c>
      <c r="L26" s="46"/>
      <c r="M26" s="19"/>
      <c r="N26" s="46"/>
      <c r="O26" s="46"/>
      <c r="P26" s="46"/>
      <c r="Q26" s="19"/>
      <c r="R26" s="19"/>
      <c r="S26" s="19"/>
      <c r="T26" s="20"/>
      <c r="U26" s="19"/>
      <c r="V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M26" s="46"/>
      <c r="AQ26" s="19"/>
      <c r="AR26" s="19"/>
      <c r="AS26" s="19"/>
      <c r="AT26" s="19"/>
      <c r="AU26" s="19"/>
      <c r="AV26" s="19"/>
      <c r="AW26" s="19"/>
      <c r="AY26" s="19"/>
      <c r="AZ26" s="20">
        <v>1</v>
      </c>
      <c r="BA26" s="19"/>
      <c r="BB26" s="19"/>
      <c r="BC26" s="19"/>
      <c r="BD26" s="19"/>
      <c r="BE26" s="19"/>
      <c r="BF26" s="19"/>
      <c r="BG26" s="19"/>
      <c r="BH26" s="20"/>
      <c r="BI26" s="19"/>
      <c r="BJ26" s="19"/>
      <c r="BK26" s="20"/>
      <c r="BL26" s="251">
        <v>5.8940000000000001</v>
      </c>
      <c r="BM26" s="244">
        <f t="shared" si="9"/>
        <v>12.8</v>
      </c>
      <c r="BN26" s="244">
        <f t="shared" si="10"/>
        <v>18.8</v>
      </c>
      <c r="BO26" s="244">
        <f t="shared" si="11"/>
        <v>33</v>
      </c>
      <c r="BP26" s="82">
        <v>1</v>
      </c>
      <c r="BQ26" s="159">
        <v>4</v>
      </c>
      <c r="BR26" s="119">
        <v>2</v>
      </c>
      <c r="BS26" s="107"/>
      <c r="BT26" s="137"/>
      <c r="BU26" s="137"/>
      <c r="BV26" s="143"/>
      <c r="BW26" s="170"/>
      <c r="BX26" s="143"/>
      <c r="BY26" s="143"/>
      <c r="BZ26" s="203"/>
      <c r="CA26" s="143"/>
      <c r="CB26" s="143"/>
      <c r="CC26" s="203"/>
      <c r="CD26" s="203"/>
      <c r="CE26" s="143"/>
      <c r="CF26" s="203"/>
      <c r="CG26" s="143"/>
      <c r="CH26" s="143"/>
      <c r="CI26" s="143"/>
      <c r="CJ26" s="203"/>
      <c r="CK26" s="203"/>
      <c r="CL26" s="203"/>
      <c r="CM26" s="203"/>
      <c r="CN26" s="143"/>
      <c r="CO26" s="143"/>
      <c r="CP26" s="203"/>
      <c r="CQ26" s="143"/>
      <c r="CR26" s="203"/>
      <c r="CS26" s="143"/>
      <c r="CT26" s="300"/>
    </row>
    <row r="27" spans="1:98" x14ac:dyDescent="0.25">
      <c r="A27" s="24" t="s">
        <v>24</v>
      </c>
      <c r="B27" s="18" t="s">
        <v>238</v>
      </c>
      <c r="C27" s="203" t="s">
        <v>217</v>
      </c>
      <c r="D27" s="65" t="s">
        <v>28</v>
      </c>
      <c r="E27" s="65" t="s">
        <v>29</v>
      </c>
      <c r="F27" s="2" t="s">
        <v>36</v>
      </c>
      <c r="G27" s="71" t="s">
        <v>40</v>
      </c>
      <c r="H27" s="2" t="s">
        <v>158</v>
      </c>
      <c r="I27" s="46" t="s">
        <v>424</v>
      </c>
      <c r="J27" s="46" t="s">
        <v>419</v>
      </c>
      <c r="K27" s="88" t="s">
        <v>275</v>
      </c>
      <c r="L27" s="46"/>
      <c r="M27" s="19"/>
      <c r="N27" s="46"/>
      <c r="O27" s="46"/>
      <c r="P27" s="46"/>
      <c r="Q27" s="19"/>
      <c r="R27" s="19"/>
      <c r="S27" s="19"/>
      <c r="T27" s="20"/>
      <c r="U27" s="19"/>
      <c r="V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M27" s="46"/>
      <c r="AQ27" s="19"/>
      <c r="AR27" s="19"/>
      <c r="AS27" s="19"/>
      <c r="AT27" s="19"/>
      <c r="AU27" s="19"/>
      <c r="AV27" s="19"/>
      <c r="AW27" s="19"/>
      <c r="AY27" s="19"/>
      <c r="AZ27" s="20"/>
      <c r="BA27" s="19">
        <v>1</v>
      </c>
      <c r="BB27" s="19">
        <v>1</v>
      </c>
      <c r="BC27" s="19"/>
      <c r="BD27" s="19"/>
      <c r="BE27" s="19"/>
      <c r="BF27" s="19"/>
      <c r="BG27" s="19"/>
      <c r="BH27" s="20"/>
      <c r="BI27" s="19"/>
      <c r="BJ27" s="19"/>
      <c r="BK27" s="20"/>
      <c r="BL27" s="251">
        <v>8.6</v>
      </c>
      <c r="BM27" s="244">
        <f t="shared" si="9"/>
        <v>16.899999999999999</v>
      </c>
      <c r="BN27" s="244">
        <f t="shared" si="10"/>
        <v>22.9</v>
      </c>
      <c r="BO27" s="244">
        <f t="shared" si="11"/>
        <v>40</v>
      </c>
      <c r="BP27" s="82">
        <v>2</v>
      </c>
      <c r="BQ27" s="159">
        <v>4</v>
      </c>
      <c r="BR27" s="119">
        <v>2</v>
      </c>
      <c r="BS27" s="107"/>
      <c r="BT27" s="137"/>
      <c r="BU27" s="137"/>
      <c r="BV27" s="143"/>
      <c r="BW27" s="170"/>
      <c r="BX27" s="143"/>
      <c r="BY27" s="143"/>
      <c r="BZ27" s="203"/>
      <c r="CA27" s="143"/>
      <c r="CB27" s="143"/>
      <c r="CC27" s="203"/>
      <c r="CD27" s="203"/>
      <c r="CE27" s="143"/>
      <c r="CF27" s="203"/>
      <c r="CG27" s="143"/>
      <c r="CH27" s="143"/>
      <c r="CI27" s="143"/>
      <c r="CJ27" s="203"/>
      <c r="CK27" s="203"/>
      <c r="CL27" s="203"/>
      <c r="CM27" s="203"/>
      <c r="CN27" s="143"/>
      <c r="CO27" s="143"/>
      <c r="CP27" s="203"/>
      <c r="CQ27" s="143"/>
      <c r="CR27" s="203"/>
      <c r="CS27" s="143"/>
      <c r="CT27" s="300"/>
    </row>
    <row r="28" spans="1:98" x14ac:dyDescent="0.25">
      <c r="A28" s="24" t="s">
        <v>24</v>
      </c>
      <c r="B28" s="18" t="s">
        <v>239</v>
      </c>
      <c r="C28" s="47" t="s">
        <v>85</v>
      </c>
      <c r="D28" s="65" t="s">
        <v>28</v>
      </c>
      <c r="E28" s="65" t="s">
        <v>29</v>
      </c>
      <c r="F28" s="2" t="s">
        <v>36</v>
      </c>
      <c r="G28" s="71" t="s">
        <v>41</v>
      </c>
      <c r="H28" s="2" t="s">
        <v>159</v>
      </c>
      <c r="I28" s="46"/>
      <c r="J28" s="46" t="s">
        <v>419</v>
      </c>
      <c r="K28" s="88" t="s">
        <v>275</v>
      </c>
      <c r="L28" s="46"/>
      <c r="M28" s="19"/>
      <c r="N28" s="46"/>
      <c r="O28" s="46"/>
      <c r="P28" s="46"/>
      <c r="Q28" s="19"/>
      <c r="R28" s="19"/>
      <c r="S28" s="19"/>
      <c r="T28" s="20"/>
      <c r="U28" s="19"/>
      <c r="V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M28" s="46"/>
      <c r="AQ28" s="19"/>
      <c r="AR28" s="19"/>
      <c r="AS28" s="19"/>
      <c r="AT28" s="19"/>
      <c r="AU28" s="19"/>
      <c r="AV28" s="19"/>
      <c r="AW28" s="19"/>
      <c r="AY28" s="19"/>
      <c r="AZ28" s="20"/>
      <c r="BA28" s="19"/>
      <c r="BB28" s="19"/>
      <c r="BC28" s="19">
        <v>1</v>
      </c>
      <c r="BD28" s="19"/>
      <c r="BE28" s="19">
        <v>1</v>
      </c>
      <c r="BF28" s="19"/>
      <c r="BG28" s="19"/>
      <c r="BH28" s="20"/>
      <c r="BI28" s="19"/>
      <c r="BJ28" s="19"/>
      <c r="BK28" s="20"/>
      <c r="BL28" s="261">
        <v>4.4939999999999998</v>
      </c>
      <c r="BM28" s="244">
        <f t="shared" si="9"/>
        <v>10.7</v>
      </c>
      <c r="BN28" s="244">
        <f t="shared" si="10"/>
        <v>16.7</v>
      </c>
      <c r="BO28" s="244">
        <f t="shared" si="11"/>
        <v>29</v>
      </c>
      <c r="BP28" s="82">
        <v>0</v>
      </c>
      <c r="BQ28" s="159">
        <v>0</v>
      </c>
      <c r="BR28" s="105"/>
      <c r="BS28" s="105"/>
      <c r="BT28" s="137"/>
      <c r="BU28" s="137"/>
      <c r="BV28" s="143"/>
      <c r="BW28" s="170"/>
      <c r="BX28" s="143"/>
      <c r="BY28" s="143"/>
      <c r="BZ28" s="203"/>
      <c r="CA28" s="143"/>
      <c r="CB28" s="143"/>
      <c r="CC28" s="203"/>
      <c r="CD28" s="203"/>
      <c r="CE28" s="143"/>
      <c r="CF28" s="203"/>
      <c r="CG28" s="143"/>
      <c r="CH28" s="143"/>
      <c r="CI28" s="143"/>
      <c r="CJ28" s="203"/>
      <c r="CK28" s="203"/>
      <c r="CL28" s="203"/>
      <c r="CM28" s="203"/>
      <c r="CN28" s="143"/>
      <c r="CO28" s="143"/>
      <c r="CP28" s="203"/>
      <c r="CQ28" s="143"/>
      <c r="CR28" s="203"/>
      <c r="CS28" s="143"/>
      <c r="CT28" s="300"/>
    </row>
    <row r="29" spans="1:98" x14ac:dyDescent="0.25">
      <c r="A29" s="24" t="s">
        <v>24</v>
      </c>
      <c r="B29" s="18" t="s">
        <v>240</v>
      </c>
      <c r="C29" s="203" t="s">
        <v>101</v>
      </c>
      <c r="D29" s="65" t="s">
        <v>28</v>
      </c>
      <c r="E29" s="65" t="s">
        <v>29</v>
      </c>
      <c r="F29" s="2" t="s">
        <v>36</v>
      </c>
      <c r="G29" s="71" t="s">
        <v>42</v>
      </c>
      <c r="H29" s="2" t="s">
        <v>160</v>
      </c>
      <c r="I29" s="46"/>
      <c r="J29" s="46" t="s">
        <v>419</v>
      </c>
      <c r="K29" s="88" t="s">
        <v>275</v>
      </c>
      <c r="L29" s="46"/>
      <c r="M29" s="19"/>
      <c r="N29" s="46"/>
      <c r="O29" s="46"/>
      <c r="P29" s="46"/>
      <c r="Q29" s="19"/>
      <c r="R29" s="19"/>
      <c r="S29" s="19"/>
      <c r="T29" s="20"/>
      <c r="U29" s="19"/>
      <c r="V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M29" s="46"/>
      <c r="AQ29" s="19"/>
      <c r="AR29" s="19"/>
      <c r="AS29" s="19"/>
      <c r="AT29" s="19"/>
      <c r="AU29" s="19"/>
      <c r="AV29" s="19"/>
      <c r="AW29" s="19"/>
      <c r="AY29" s="19"/>
      <c r="AZ29" s="20"/>
      <c r="BA29" s="19"/>
      <c r="BB29" s="19"/>
      <c r="BC29" s="19"/>
      <c r="BD29" s="19"/>
      <c r="BE29" s="19"/>
      <c r="BF29" s="19">
        <v>1</v>
      </c>
      <c r="BG29" s="19"/>
      <c r="BH29" s="20"/>
      <c r="BI29" s="19"/>
      <c r="BJ29" s="19"/>
      <c r="BK29" s="20"/>
      <c r="BL29" s="251">
        <v>6.6630000000000003</v>
      </c>
      <c r="BM29" s="244">
        <f t="shared" si="9"/>
        <v>14</v>
      </c>
      <c r="BN29" s="244">
        <f t="shared" si="10"/>
        <v>20</v>
      </c>
      <c r="BO29" s="244">
        <f t="shared" si="11"/>
        <v>35</v>
      </c>
      <c r="BP29" s="82">
        <v>1</v>
      </c>
      <c r="BQ29" s="159">
        <v>0</v>
      </c>
      <c r="BR29" s="120" t="s">
        <v>216</v>
      </c>
      <c r="BS29" s="125"/>
      <c r="BT29" s="137"/>
      <c r="BU29" s="137"/>
      <c r="BV29" s="143"/>
      <c r="BW29" s="170"/>
      <c r="BX29" s="143"/>
      <c r="BY29" s="143"/>
      <c r="BZ29" s="203"/>
      <c r="CA29" s="143"/>
      <c r="CB29" s="143"/>
      <c r="CC29" s="203"/>
      <c r="CD29" s="203"/>
      <c r="CE29" s="143"/>
      <c r="CF29" s="203"/>
      <c r="CG29" s="143"/>
      <c r="CH29" s="143"/>
      <c r="CI29" s="143"/>
      <c r="CJ29" s="203"/>
      <c r="CK29" s="203"/>
      <c r="CL29" s="203"/>
      <c r="CM29" s="203"/>
      <c r="CN29" s="143"/>
      <c r="CO29" s="143"/>
      <c r="CP29" s="203"/>
      <c r="CQ29" s="143"/>
      <c r="CR29" s="203"/>
      <c r="CS29" s="143"/>
      <c r="CT29" s="300"/>
    </row>
    <row r="30" spans="1:98" x14ac:dyDescent="0.25">
      <c r="A30" s="24" t="s">
        <v>24</v>
      </c>
      <c r="B30" s="18" t="s">
        <v>564</v>
      </c>
      <c r="C30" s="203" t="s">
        <v>565</v>
      </c>
      <c r="D30" s="65" t="s">
        <v>28</v>
      </c>
      <c r="E30" s="65" t="s">
        <v>29</v>
      </c>
      <c r="F30" s="2" t="s">
        <v>36</v>
      </c>
      <c r="G30" s="168" t="s">
        <v>567</v>
      </c>
      <c r="H30" s="2" t="s">
        <v>566</v>
      </c>
      <c r="I30" s="46"/>
      <c r="J30" s="46"/>
      <c r="K30" s="88" t="s">
        <v>275</v>
      </c>
      <c r="L30" s="46"/>
      <c r="M30" s="19"/>
      <c r="N30" s="46"/>
      <c r="O30" s="46"/>
      <c r="P30" s="46"/>
      <c r="Q30" s="19"/>
      <c r="R30" s="19"/>
      <c r="S30" s="19"/>
      <c r="T30" s="20"/>
      <c r="U30" s="19"/>
      <c r="V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M30" s="46"/>
      <c r="AQ30" s="19"/>
      <c r="AR30" s="19"/>
      <c r="AS30" s="19"/>
      <c r="AT30" s="19"/>
      <c r="AU30" s="19"/>
      <c r="AV30" s="19"/>
      <c r="AW30" s="19"/>
      <c r="AY30" s="19"/>
      <c r="AZ30" s="20"/>
      <c r="BA30" s="19"/>
      <c r="BB30" s="19"/>
      <c r="BC30" s="19"/>
      <c r="BD30" s="19"/>
      <c r="BE30" s="19"/>
      <c r="BF30" s="19"/>
      <c r="BG30" s="19">
        <v>1</v>
      </c>
      <c r="BH30" s="20"/>
      <c r="BI30" s="19"/>
      <c r="BJ30" s="19"/>
      <c r="BK30" s="20"/>
      <c r="BL30" s="252">
        <v>6.75</v>
      </c>
      <c r="BM30" s="244">
        <f t="shared" si="9"/>
        <v>14.1</v>
      </c>
      <c r="BN30" s="244">
        <f t="shared" si="10"/>
        <v>20.100000000000001</v>
      </c>
      <c r="BO30" s="244">
        <f t="shared" si="11"/>
        <v>35</v>
      </c>
      <c r="BP30" s="82">
        <v>0</v>
      </c>
      <c r="BQ30" s="159">
        <v>5</v>
      </c>
      <c r="BR30" s="120"/>
      <c r="BS30" s="125"/>
      <c r="BT30" s="137"/>
      <c r="BU30" s="137"/>
      <c r="BV30" s="143"/>
      <c r="BW30" s="170"/>
      <c r="BX30" s="143"/>
      <c r="BY30" s="143"/>
      <c r="BZ30" s="203"/>
      <c r="CA30" s="143"/>
      <c r="CB30" s="181">
        <v>5</v>
      </c>
      <c r="CC30" s="203"/>
      <c r="CD30" s="203">
        <v>5</v>
      </c>
      <c r="CE30" s="143"/>
      <c r="CF30" s="203"/>
      <c r="CG30" s="143"/>
      <c r="CH30" s="143"/>
      <c r="CI30" s="143"/>
      <c r="CJ30" s="203"/>
      <c r="CK30" s="203"/>
      <c r="CL30" s="203"/>
      <c r="CM30" s="203"/>
      <c r="CN30" s="143"/>
      <c r="CO30" s="143"/>
      <c r="CP30" s="203"/>
      <c r="CQ30" s="143"/>
      <c r="CR30" s="203"/>
      <c r="CS30" s="143"/>
      <c r="CT30" s="300"/>
    </row>
    <row r="31" spans="1:98" x14ac:dyDescent="0.25">
      <c r="A31" s="24" t="s">
        <v>24</v>
      </c>
      <c r="B31" s="18" t="s">
        <v>564</v>
      </c>
      <c r="C31" s="203" t="s">
        <v>581</v>
      </c>
      <c r="D31" s="65" t="s">
        <v>28</v>
      </c>
      <c r="E31" s="65" t="s">
        <v>29</v>
      </c>
      <c r="F31" s="2" t="s">
        <v>36</v>
      </c>
      <c r="G31" s="168" t="s">
        <v>580</v>
      </c>
      <c r="H31" s="2" t="s">
        <v>579</v>
      </c>
      <c r="I31" s="46"/>
      <c r="J31" s="46"/>
      <c r="K31" s="88" t="s">
        <v>275</v>
      </c>
      <c r="L31" s="46"/>
      <c r="M31" s="19"/>
      <c r="N31" s="46"/>
      <c r="O31" s="46"/>
      <c r="P31" s="46"/>
      <c r="Q31" s="19"/>
      <c r="R31" s="19"/>
      <c r="S31" s="19"/>
      <c r="T31" s="20"/>
      <c r="U31" s="19"/>
      <c r="V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M31" s="46"/>
      <c r="AQ31" s="19"/>
      <c r="AR31" s="19"/>
      <c r="AS31" s="19"/>
      <c r="AT31" s="19"/>
      <c r="AU31" s="19"/>
      <c r="AV31" s="19"/>
      <c r="AW31" s="19"/>
      <c r="AY31" s="19"/>
      <c r="AZ31" s="20"/>
      <c r="BA31" s="19"/>
      <c r="BB31" s="19"/>
      <c r="BC31" s="19"/>
      <c r="BD31" s="19">
        <v>1</v>
      </c>
      <c r="BE31" s="19"/>
      <c r="BF31" s="19"/>
      <c r="BG31" s="19"/>
      <c r="BH31" s="20"/>
      <c r="BI31" s="19"/>
      <c r="BJ31" s="19"/>
      <c r="BK31" s="20"/>
      <c r="BL31" s="252">
        <v>6.53</v>
      </c>
      <c r="BM31" s="244">
        <f t="shared" si="9"/>
        <v>13.8</v>
      </c>
      <c r="BN31" s="244">
        <f t="shared" si="10"/>
        <v>19.8</v>
      </c>
      <c r="BO31" s="244">
        <f t="shared" si="11"/>
        <v>35</v>
      </c>
      <c r="BP31" s="82">
        <v>0</v>
      </c>
      <c r="BQ31" s="159">
        <v>5</v>
      </c>
      <c r="BR31" s="120"/>
      <c r="BS31" s="125"/>
      <c r="BT31" s="137"/>
      <c r="BU31" s="137"/>
      <c r="BV31" s="143"/>
      <c r="BW31" s="170"/>
      <c r="BX31" s="143"/>
      <c r="BY31" s="143"/>
      <c r="BZ31" s="203"/>
      <c r="CA31" s="143"/>
      <c r="CB31" s="181">
        <v>5</v>
      </c>
      <c r="CC31" s="203"/>
      <c r="CD31" s="203">
        <v>5</v>
      </c>
      <c r="CE31" s="143"/>
      <c r="CF31" s="203"/>
      <c r="CG31" s="143"/>
      <c r="CH31" s="143"/>
      <c r="CI31" s="143"/>
      <c r="CJ31" s="203"/>
      <c r="CK31" s="203"/>
      <c r="CL31" s="203"/>
      <c r="CM31" s="203"/>
      <c r="CN31" s="143"/>
      <c r="CO31" s="143"/>
      <c r="CP31" s="203"/>
      <c r="CQ31" s="143"/>
      <c r="CR31" s="203"/>
      <c r="CS31" s="143"/>
      <c r="CT31" s="300"/>
    </row>
    <row r="32" spans="1:98" x14ac:dyDescent="0.25">
      <c r="A32" s="24" t="s">
        <v>24</v>
      </c>
      <c r="B32" s="18" t="s">
        <v>585</v>
      </c>
      <c r="C32" s="203" t="s">
        <v>584</v>
      </c>
      <c r="D32" s="65" t="s">
        <v>28</v>
      </c>
      <c r="E32" s="65" t="s">
        <v>29</v>
      </c>
      <c r="F32" s="2" t="s">
        <v>36</v>
      </c>
      <c r="G32" s="168" t="s">
        <v>586</v>
      </c>
      <c r="H32" s="2" t="s">
        <v>587</v>
      </c>
      <c r="I32" s="46"/>
      <c r="J32" s="46"/>
      <c r="K32" s="88" t="s">
        <v>275</v>
      </c>
      <c r="L32" s="46"/>
      <c r="M32" s="19"/>
      <c r="N32" s="46"/>
      <c r="O32" s="46"/>
      <c r="P32" s="46"/>
      <c r="Q32" s="19"/>
      <c r="R32" s="19"/>
      <c r="S32" s="19"/>
      <c r="T32" s="20"/>
      <c r="U32" s="19"/>
      <c r="V32" s="19"/>
      <c r="W32" s="46">
        <v>1</v>
      </c>
      <c r="X32" s="19"/>
      <c r="Y32" s="19"/>
      <c r="Z32" s="19"/>
      <c r="AA32" s="19"/>
      <c r="AB32" s="19"/>
      <c r="AC32" s="19"/>
      <c r="AD32" s="19"/>
      <c r="AE32" s="19">
        <v>1</v>
      </c>
      <c r="AF32" s="19"/>
      <c r="AG32" s="19"/>
      <c r="AH32" s="19"/>
      <c r="AI32" s="19"/>
      <c r="AJ32" s="19"/>
      <c r="AK32" s="46">
        <v>1</v>
      </c>
      <c r="AM32" s="46"/>
      <c r="AO32" s="46">
        <v>1</v>
      </c>
      <c r="AQ32" s="19">
        <v>1</v>
      </c>
      <c r="AR32" s="19"/>
      <c r="AS32" s="19"/>
      <c r="AT32" s="19"/>
      <c r="AU32" s="19"/>
      <c r="AV32" s="19"/>
      <c r="AW32" s="19"/>
      <c r="AY32" s="19"/>
      <c r="AZ32" s="20"/>
      <c r="BA32" s="19"/>
      <c r="BB32" s="19"/>
      <c r="BC32" s="19"/>
      <c r="BD32" s="19"/>
      <c r="BE32" s="19"/>
      <c r="BF32" s="19"/>
      <c r="BG32" s="19"/>
      <c r="BH32" s="20"/>
      <c r="BI32" s="19"/>
      <c r="BJ32" s="19"/>
      <c r="BK32" s="20"/>
      <c r="BL32" s="252">
        <v>5.34</v>
      </c>
      <c r="BM32" s="244">
        <f t="shared" si="9"/>
        <v>12</v>
      </c>
      <c r="BN32" s="244">
        <f t="shared" si="10"/>
        <v>18</v>
      </c>
      <c r="BO32" s="244">
        <f t="shared" si="11"/>
        <v>31</v>
      </c>
      <c r="BP32" s="82">
        <v>0</v>
      </c>
      <c r="BQ32" s="159">
        <v>5</v>
      </c>
      <c r="BR32" s="120"/>
      <c r="BS32" s="125"/>
      <c r="BT32" s="137"/>
      <c r="BU32" s="137"/>
      <c r="BV32" s="143"/>
      <c r="BW32" s="170"/>
      <c r="BX32" s="143"/>
      <c r="BY32" s="143"/>
      <c r="BZ32" s="203"/>
      <c r="CA32" s="143"/>
      <c r="CB32" s="181">
        <v>5</v>
      </c>
      <c r="CC32" s="203"/>
      <c r="CD32" s="203">
        <v>5</v>
      </c>
      <c r="CE32" s="143"/>
      <c r="CF32" s="203"/>
      <c r="CG32" s="143"/>
      <c r="CH32" s="143"/>
      <c r="CI32" s="143"/>
      <c r="CJ32" s="203"/>
      <c r="CK32" s="203"/>
      <c r="CL32" s="203"/>
      <c r="CM32" s="203"/>
      <c r="CN32" s="143"/>
      <c r="CO32" s="143"/>
      <c r="CP32" s="203"/>
      <c r="CQ32" s="143"/>
      <c r="CR32" s="203"/>
      <c r="CS32" s="143"/>
      <c r="CT32" s="300"/>
    </row>
    <row r="33" spans="1:98" x14ac:dyDescent="0.25">
      <c r="A33" s="24" t="s">
        <v>24</v>
      </c>
      <c r="B33" s="18" t="s">
        <v>585</v>
      </c>
      <c r="C33" s="203" t="s">
        <v>596</v>
      </c>
      <c r="D33" s="65" t="s">
        <v>28</v>
      </c>
      <c r="E33" s="65" t="s">
        <v>29</v>
      </c>
      <c r="F33" s="2" t="s">
        <v>36</v>
      </c>
      <c r="G33" s="168" t="s">
        <v>597</v>
      </c>
      <c r="H33" s="2" t="s">
        <v>598</v>
      </c>
      <c r="I33" s="46"/>
      <c r="J33" s="46"/>
      <c r="K33" s="88" t="s">
        <v>275</v>
      </c>
      <c r="L33" s="46"/>
      <c r="M33" s="19"/>
      <c r="N33" s="46"/>
      <c r="O33" s="46"/>
      <c r="P33" s="46"/>
      <c r="Q33" s="19"/>
      <c r="R33" s="19"/>
      <c r="S33" s="19"/>
      <c r="T33" s="20"/>
      <c r="U33" s="19"/>
      <c r="V33" s="19"/>
      <c r="X33" s="19"/>
      <c r="Y33" s="19"/>
      <c r="Z33" s="19"/>
      <c r="AA33" s="19"/>
      <c r="AB33" s="19"/>
      <c r="AC33" s="19"/>
      <c r="AD33" s="19"/>
      <c r="AE33" s="19"/>
      <c r="AF33" s="19">
        <v>1</v>
      </c>
      <c r="AG33" s="19">
        <v>1</v>
      </c>
      <c r="AH33" s="19"/>
      <c r="AI33" s="19"/>
      <c r="AJ33" s="272"/>
      <c r="AL33" s="46">
        <v>1</v>
      </c>
      <c r="AM33" s="46"/>
      <c r="AP33" s="46">
        <v>1</v>
      </c>
      <c r="AQ33" s="19"/>
      <c r="AR33" s="19">
        <v>1</v>
      </c>
      <c r="AS33" s="19"/>
      <c r="AT33" s="19"/>
      <c r="AU33" s="19"/>
      <c r="AV33" s="19"/>
      <c r="AW33" s="19"/>
      <c r="AY33" s="19"/>
      <c r="AZ33" s="20"/>
      <c r="BA33" s="19"/>
      <c r="BB33" s="19"/>
      <c r="BC33" s="19"/>
      <c r="BD33" s="19"/>
      <c r="BE33" s="19"/>
      <c r="BF33" s="19"/>
      <c r="BG33" s="19"/>
      <c r="BH33" s="20"/>
      <c r="BI33" s="19"/>
      <c r="BJ33" s="19"/>
      <c r="BK33" s="20"/>
      <c r="BL33" s="252">
        <v>5.43</v>
      </c>
      <c r="BM33" s="244">
        <f t="shared" si="9"/>
        <v>12.1</v>
      </c>
      <c r="BN33" s="244">
        <f t="shared" si="10"/>
        <v>18.100000000000001</v>
      </c>
      <c r="BO33" s="244">
        <f t="shared" si="11"/>
        <v>32</v>
      </c>
      <c r="BP33" s="82">
        <v>1</v>
      </c>
      <c r="BQ33" s="159">
        <v>4</v>
      </c>
      <c r="BR33" s="120"/>
      <c r="BS33" s="125"/>
      <c r="BT33" s="137"/>
      <c r="BU33" s="137"/>
      <c r="BV33" s="143"/>
      <c r="BW33" s="170"/>
      <c r="BX33" s="143"/>
      <c r="BY33" s="143"/>
      <c r="BZ33" s="203"/>
      <c r="CA33" s="143"/>
      <c r="CB33" s="181">
        <v>5</v>
      </c>
      <c r="CC33" s="203"/>
      <c r="CD33" s="203">
        <v>5</v>
      </c>
      <c r="CE33" s="143"/>
      <c r="CF33" s="203"/>
      <c r="CG33" s="143"/>
      <c r="CH33" s="181">
        <v>5</v>
      </c>
      <c r="CI33" s="143"/>
      <c r="CJ33" s="203"/>
      <c r="CK33" s="203"/>
      <c r="CL33" s="203"/>
      <c r="CM33" s="203">
        <v>5</v>
      </c>
      <c r="CN33" s="143"/>
      <c r="CO33" s="143"/>
      <c r="CP33" s="203"/>
      <c r="CQ33" s="143"/>
      <c r="CR33" s="203"/>
      <c r="CS33" s="143"/>
      <c r="CT33" s="300"/>
    </row>
    <row r="34" spans="1:98" x14ac:dyDescent="0.25">
      <c r="A34" s="24" t="s">
        <v>24</v>
      </c>
      <c r="B34" s="18" t="s">
        <v>585</v>
      </c>
      <c r="C34" s="203" t="s">
        <v>682</v>
      </c>
      <c r="D34" s="65" t="s">
        <v>28</v>
      </c>
      <c r="E34" s="65" t="s">
        <v>29</v>
      </c>
      <c r="F34" s="2" t="s">
        <v>36</v>
      </c>
      <c r="G34" s="168" t="s">
        <v>681</v>
      </c>
      <c r="H34" s="262" t="s">
        <v>680</v>
      </c>
      <c r="I34" s="46"/>
      <c r="J34" s="46"/>
      <c r="K34" s="88" t="s">
        <v>275</v>
      </c>
      <c r="L34" s="46"/>
      <c r="M34" s="19"/>
      <c r="N34" s="46"/>
      <c r="O34" s="46"/>
      <c r="P34" s="46"/>
      <c r="Q34" s="19"/>
      <c r="R34" s="19"/>
      <c r="S34" s="19"/>
      <c r="T34" s="20"/>
      <c r="U34" s="19"/>
      <c r="V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>
        <v>1</v>
      </c>
      <c r="AI34" s="19"/>
      <c r="AJ34" s="19"/>
      <c r="AM34" s="46"/>
      <c r="AQ34" s="19"/>
      <c r="AR34" s="19"/>
      <c r="AS34" s="19"/>
      <c r="AT34" s="19"/>
      <c r="AU34" s="19"/>
      <c r="AV34" s="19"/>
      <c r="AW34" s="19"/>
      <c r="AY34" s="19"/>
      <c r="AZ34" s="20"/>
      <c r="BA34" s="19"/>
      <c r="BB34" s="19"/>
      <c r="BC34" s="19"/>
      <c r="BD34" s="19"/>
      <c r="BE34" s="19"/>
      <c r="BF34" s="19"/>
      <c r="BG34" s="19"/>
      <c r="BH34" s="20"/>
      <c r="BI34" s="19"/>
      <c r="BJ34" s="19"/>
      <c r="BK34" s="20"/>
      <c r="BL34" s="252">
        <v>5.48</v>
      </c>
      <c r="BM34" s="244">
        <f t="shared" ref="BM34" si="18">ROUND((BL34*1.5+4)*10,0)/10</f>
        <v>12.2</v>
      </c>
      <c r="BN34" s="244">
        <f t="shared" ref="BN34" si="19">ROUND((BL34*1.5+10)*10,0)/10</f>
        <v>18.2</v>
      </c>
      <c r="BO34" s="244">
        <f t="shared" ref="BO34" si="20">ROUND(BN34/0.7*1.22,0)</f>
        <v>32</v>
      </c>
      <c r="BP34" s="82"/>
      <c r="BQ34" s="159"/>
      <c r="BR34" s="125"/>
      <c r="BS34" s="125"/>
      <c r="BT34" s="137"/>
      <c r="BU34" s="137"/>
      <c r="BV34" s="143"/>
      <c r="BW34" s="170"/>
      <c r="BX34" s="143"/>
      <c r="BY34" s="143"/>
      <c r="BZ34" s="203"/>
      <c r="CA34" s="143"/>
      <c r="CB34" s="196"/>
      <c r="CC34" s="203"/>
      <c r="CD34" s="203"/>
      <c r="CE34" s="143"/>
      <c r="CF34" s="203"/>
      <c r="CG34" s="143"/>
      <c r="CH34" s="181">
        <v>5</v>
      </c>
      <c r="CI34" s="143"/>
      <c r="CJ34" s="203"/>
      <c r="CK34" s="203">
        <v>5</v>
      </c>
      <c r="CL34" s="203"/>
      <c r="CM34" s="203"/>
      <c r="CN34" s="143"/>
      <c r="CO34" s="143"/>
      <c r="CP34" s="203"/>
      <c r="CQ34" s="143"/>
      <c r="CR34" s="203"/>
      <c r="CS34" s="143"/>
      <c r="CT34" s="300"/>
    </row>
    <row r="35" spans="1:98" x14ac:dyDescent="0.25">
      <c r="A35" s="24" t="s">
        <v>24</v>
      </c>
      <c r="B35" s="18" t="s">
        <v>685</v>
      </c>
      <c r="C35" s="203" t="s">
        <v>684</v>
      </c>
      <c r="D35" s="65" t="s">
        <v>28</v>
      </c>
      <c r="E35" s="65" t="s">
        <v>29</v>
      </c>
      <c r="F35" s="2" t="s">
        <v>36</v>
      </c>
      <c r="G35" s="168" t="s">
        <v>686</v>
      </c>
      <c r="H35" s="262" t="s">
        <v>683</v>
      </c>
      <c r="I35" s="46"/>
      <c r="J35" s="46"/>
      <c r="K35" s="88" t="s">
        <v>275</v>
      </c>
      <c r="L35" s="46"/>
      <c r="M35" s="19"/>
      <c r="N35" s="46"/>
      <c r="O35" s="46"/>
      <c r="P35" s="46"/>
      <c r="Q35" s="19"/>
      <c r="R35" s="19"/>
      <c r="S35" s="19"/>
      <c r="T35" s="20"/>
      <c r="U35" s="19"/>
      <c r="V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>
        <v>1</v>
      </c>
      <c r="AJ35" s="19"/>
      <c r="AM35" s="46"/>
      <c r="AQ35" s="19"/>
      <c r="AR35" s="19"/>
      <c r="AS35" s="19"/>
      <c r="AT35" s="19"/>
      <c r="AU35" s="19"/>
      <c r="AV35" s="19"/>
      <c r="AW35" s="19"/>
      <c r="AY35" s="19"/>
      <c r="AZ35" s="20"/>
      <c r="BA35" s="19"/>
      <c r="BB35" s="19"/>
      <c r="BC35" s="19"/>
      <c r="BD35" s="19"/>
      <c r="BE35" s="19"/>
      <c r="BF35" s="19"/>
      <c r="BG35" s="19"/>
      <c r="BH35" s="20"/>
      <c r="BI35" s="19"/>
      <c r="BJ35" s="19"/>
      <c r="BK35" s="20"/>
      <c r="BL35" s="252">
        <v>3.71</v>
      </c>
      <c r="BM35" s="244">
        <f t="shared" ref="BM35:BM37" si="21">ROUND((BL35*1.5+4)*10,0)/10</f>
        <v>9.6</v>
      </c>
      <c r="BN35" s="244">
        <f t="shared" ref="BN35:BN37" si="22">ROUND((BL35*1.5+10)*10,0)/10</f>
        <v>15.6</v>
      </c>
      <c r="BO35" s="244">
        <f t="shared" ref="BO35:BO37" si="23">ROUND(BN35/0.7*1.22,0)</f>
        <v>27</v>
      </c>
      <c r="BP35" s="82"/>
      <c r="BQ35" s="159"/>
      <c r="BR35" s="125"/>
      <c r="BS35" s="125"/>
      <c r="BT35" s="137"/>
      <c r="BU35" s="137"/>
      <c r="BV35" s="143"/>
      <c r="BW35" s="170"/>
      <c r="BX35" s="143"/>
      <c r="BY35" s="143"/>
      <c r="BZ35" s="203"/>
      <c r="CA35" s="143"/>
      <c r="CB35" s="196"/>
      <c r="CC35" s="203"/>
      <c r="CD35" s="203"/>
      <c r="CE35" s="143"/>
      <c r="CF35" s="203"/>
      <c r="CG35" s="143"/>
      <c r="CH35" s="181">
        <v>5</v>
      </c>
      <c r="CI35" s="143"/>
      <c r="CJ35" s="203"/>
      <c r="CK35" s="203"/>
      <c r="CL35" s="203"/>
      <c r="CM35" s="203">
        <v>5</v>
      </c>
      <c r="CN35" s="143"/>
      <c r="CO35" s="143"/>
      <c r="CP35" s="203"/>
      <c r="CQ35" s="143"/>
      <c r="CR35" s="203"/>
      <c r="CS35" s="143"/>
      <c r="CT35" s="300"/>
    </row>
    <row r="36" spans="1:98" x14ac:dyDescent="0.25">
      <c r="A36" s="24" t="s">
        <v>24</v>
      </c>
      <c r="B36" s="18" t="s">
        <v>689</v>
      </c>
      <c r="C36" s="203" t="s">
        <v>757</v>
      </c>
      <c r="D36" s="65" t="s">
        <v>28</v>
      </c>
      <c r="E36" s="65" t="s">
        <v>29</v>
      </c>
      <c r="F36" s="2" t="s">
        <v>36</v>
      </c>
      <c r="G36" s="168" t="s">
        <v>758</v>
      </c>
      <c r="H36" s="299" t="s">
        <v>759</v>
      </c>
      <c r="I36" s="46"/>
      <c r="J36" s="46"/>
      <c r="K36" s="88" t="s">
        <v>275</v>
      </c>
      <c r="L36" s="46"/>
      <c r="M36" s="19"/>
      <c r="N36" s="46"/>
      <c r="O36" s="46"/>
      <c r="P36" s="46"/>
      <c r="Q36" s="19"/>
      <c r="R36" s="19"/>
      <c r="S36" s="19"/>
      <c r="T36" s="20"/>
      <c r="U36" s="19"/>
      <c r="V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>
        <v>1</v>
      </c>
      <c r="AM36" s="46"/>
      <c r="AQ36" s="19"/>
      <c r="AR36" s="19"/>
      <c r="AS36" s="19"/>
      <c r="AT36" s="19"/>
      <c r="AU36" s="19"/>
      <c r="AV36" s="19"/>
      <c r="AW36" s="19"/>
      <c r="AY36" s="19"/>
      <c r="AZ36" s="20"/>
      <c r="BA36" s="19"/>
      <c r="BB36" s="19"/>
      <c r="BC36" s="19"/>
      <c r="BD36" s="19"/>
      <c r="BE36" s="19"/>
      <c r="BF36" s="19"/>
      <c r="BG36" s="19"/>
      <c r="BH36" s="20"/>
      <c r="BI36" s="19"/>
      <c r="BJ36" s="19"/>
      <c r="BK36" s="20"/>
      <c r="BL36" s="252">
        <v>3.99</v>
      </c>
      <c r="BM36" s="244">
        <f t="shared" ref="BM36" si="24">ROUND((BL36*1.5+4)*10,0)/10</f>
        <v>10</v>
      </c>
      <c r="BN36" s="244">
        <f t="shared" ref="BN36" si="25">ROUND((BL36*1.5+10)*10,0)/10</f>
        <v>16</v>
      </c>
      <c r="BO36" s="244">
        <f t="shared" ref="BO36" si="26">ROUND(BN36/0.7*1.22,0)</f>
        <v>28</v>
      </c>
      <c r="BP36" s="82"/>
      <c r="BQ36" s="159"/>
      <c r="BR36" s="125"/>
      <c r="BS36" s="125"/>
      <c r="BT36" s="137"/>
      <c r="BU36" s="137"/>
      <c r="BV36" s="143"/>
      <c r="BW36" s="170"/>
      <c r="BX36" s="143"/>
      <c r="BY36" s="143"/>
      <c r="BZ36" s="203"/>
      <c r="CA36" s="143"/>
      <c r="CB36" s="196"/>
      <c r="CC36" s="203"/>
      <c r="CD36" s="203"/>
      <c r="CE36" s="143"/>
      <c r="CF36" s="203"/>
      <c r="CG36" s="143"/>
      <c r="CH36" s="143"/>
      <c r="CI36" s="143"/>
      <c r="CJ36" s="203"/>
      <c r="CK36" s="203"/>
      <c r="CL36" s="203"/>
      <c r="CM36" s="203"/>
      <c r="CN36" s="143"/>
      <c r="CO36" s="181">
        <v>5</v>
      </c>
      <c r="CP36" s="203">
        <v>5</v>
      </c>
      <c r="CQ36" s="143"/>
      <c r="CR36" s="203"/>
      <c r="CS36" s="143"/>
      <c r="CT36" s="300"/>
    </row>
    <row r="37" spans="1:98" x14ac:dyDescent="0.25">
      <c r="A37" s="24" t="s">
        <v>24</v>
      </c>
      <c r="B37" s="18" t="s">
        <v>689</v>
      </c>
      <c r="C37" s="203" t="s">
        <v>690</v>
      </c>
      <c r="D37" s="65" t="s">
        <v>28</v>
      </c>
      <c r="E37" s="65" t="s">
        <v>29</v>
      </c>
      <c r="F37" s="2" t="s">
        <v>36</v>
      </c>
      <c r="G37" s="168" t="s">
        <v>688</v>
      </c>
      <c r="H37" s="262" t="s">
        <v>687</v>
      </c>
      <c r="I37" s="46"/>
      <c r="J37" s="46"/>
      <c r="K37" s="88" t="s">
        <v>275</v>
      </c>
      <c r="L37" s="46"/>
      <c r="M37" s="19"/>
      <c r="N37" s="46"/>
      <c r="O37" s="46"/>
      <c r="P37" s="46"/>
      <c r="Q37" s="19"/>
      <c r="R37" s="19"/>
      <c r="S37" s="19"/>
      <c r="T37" s="20"/>
      <c r="U37" s="19">
        <v>1</v>
      </c>
      <c r="V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M37" s="46"/>
      <c r="AQ37" s="19"/>
      <c r="AR37" s="19"/>
      <c r="AS37" s="19"/>
      <c r="AT37" s="19"/>
      <c r="AU37" s="19"/>
      <c r="AV37" s="19"/>
      <c r="AW37" s="19"/>
      <c r="AY37" s="19"/>
      <c r="AZ37" s="20"/>
      <c r="BA37" s="19"/>
      <c r="BB37" s="19"/>
      <c r="BC37" s="19"/>
      <c r="BD37" s="19"/>
      <c r="BE37" s="19"/>
      <c r="BF37" s="19"/>
      <c r="BG37" s="19"/>
      <c r="BH37" s="20"/>
      <c r="BI37" s="19"/>
      <c r="BJ37" s="19"/>
      <c r="BK37" s="20"/>
      <c r="BL37" s="252">
        <v>4.8499999999999996</v>
      </c>
      <c r="BM37" s="244">
        <f t="shared" si="21"/>
        <v>11.3</v>
      </c>
      <c r="BN37" s="244">
        <f t="shared" si="22"/>
        <v>17.3</v>
      </c>
      <c r="BO37" s="244">
        <f t="shared" si="23"/>
        <v>30</v>
      </c>
      <c r="BP37" s="82"/>
      <c r="BQ37" s="159"/>
      <c r="BR37" s="125"/>
      <c r="BS37" s="125"/>
      <c r="BT37" s="137"/>
      <c r="BU37" s="137"/>
      <c r="BV37" s="143"/>
      <c r="BW37" s="170"/>
      <c r="BX37" s="143"/>
      <c r="BY37" s="143"/>
      <c r="BZ37" s="203"/>
      <c r="CA37" s="143"/>
      <c r="CB37" s="196"/>
      <c r="CC37" s="203"/>
      <c r="CD37" s="203"/>
      <c r="CE37" s="143"/>
      <c r="CF37" s="203"/>
      <c r="CG37" s="143"/>
      <c r="CH37" s="181">
        <v>5</v>
      </c>
      <c r="CI37" s="143"/>
      <c r="CJ37" s="203"/>
      <c r="CK37" s="203">
        <v>5</v>
      </c>
      <c r="CL37" s="203"/>
      <c r="CM37" s="203"/>
      <c r="CN37" s="143"/>
      <c r="CO37" s="143"/>
      <c r="CP37" s="203"/>
      <c r="CQ37" s="143"/>
      <c r="CR37" s="203"/>
      <c r="CS37" s="143"/>
      <c r="CT37" s="300"/>
    </row>
    <row r="38" spans="1:98" x14ac:dyDescent="0.25">
      <c r="A38" s="24" t="s">
        <v>24</v>
      </c>
      <c r="B38" s="18" t="s">
        <v>689</v>
      </c>
      <c r="C38" s="203" t="s">
        <v>699</v>
      </c>
      <c r="D38" s="65" t="s">
        <v>28</v>
      </c>
      <c r="E38" s="65" t="s">
        <v>29</v>
      </c>
      <c r="F38" s="2" t="s">
        <v>36</v>
      </c>
      <c r="G38" s="168" t="s">
        <v>697</v>
      </c>
      <c r="H38" s="262" t="s">
        <v>698</v>
      </c>
      <c r="I38" s="46"/>
      <c r="J38" s="46"/>
      <c r="K38" s="88" t="s">
        <v>275</v>
      </c>
      <c r="L38" s="46"/>
      <c r="M38" s="19"/>
      <c r="N38" s="46"/>
      <c r="O38" s="46"/>
      <c r="P38" s="46"/>
      <c r="Q38" s="19"/>
      <c r="R38" s="19"/>
      <c r="S38" s="19"/>
      <c r="T38" s="20"/>
      <c r="U38" s="19"/>
      <c r="V38" s="19">
        <v>1</v>
      </c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M38" s="46"/>
      <c r="AQ38" s="19"/>
      <c r="AR38" s="19"/>
      <c r="AS38" s="19"/>
      <c r="AT38" s="19"/>
      <c r="AU38" s="19"/>
      <c r="AV38" s="19"/>
      <c r="AW38" s="19"/>
      <c r="AY38" s="19"/>
      <c r="AZ38" s="20"/>
      <c r="BA38" s="19"/>
      <c r="BB38" s="19"/>
      <c r="BC38" s="19"/>
      <c r="BD38" s="19"/>
      <c r="BE38" s="19"/>
      <c r="BF38" s="19"/>
      <c r="BG38" s="19"/>
      <c r="BH38" s="20"/>
      <c r="BI38" s="19"/>
      <c r="BJ38" s="19"/>
      <c r="BK38" s="20"/>
      <c r="BL38" s="252">
        <v>4.82</v>
      </c>
      <c r="BM38" s="244">
        <f t="shared" ref="BM38" si="27">ROUND((BL38*1.5+4)*10,0)/10</f>
        <v>11.2</v>
      </c>
      <c r="BN38" s="244">
        <f t="shared" ref="BN38" si="28">ROUND((BL38*1.5+10)*10,0)/10</f>
        <v>17.2</v>
      </c>
      <c r="BO38" s="244">
        <f t="shared" ref="BO38" si="29">ROUND(BN38/0.7*1.22,0)</f>
        <v>30</v>
      </c>
      <c r="BP38" s="82"/>
      <c r="BQ38" s="159"/>
      <c r="BR38" s="125"/>
      <c r="BS38" s="125"/>
      <c r="BT38" s="137"/>
      <c r="BU38" s="137"/>
      <c r="BV38" s="143"/>
      <c r="BW38" s="170"/>
      <c r="BX38" s="143"/>
      <c r="BY38" s="143"/>
      <c r="BZ38" s="203"/>
      <c r="CA38" s="143"/>
      <c r="CB38" s="196"/>
      <c r="CC38" s="203"/>
      <c r="CD38" s="203"/>
      <c r="CE38" s="143"/>
      <c r="CF38" s="203"/>
      <c r="CG38" s="143"/>
      <c r="CH38" s="181">
        <v>5</v>
      </c>
      <c r="CI38" s="143"/>
      <c r="CJ38" s="203"/>
      <c r="CK38" s="203"/>
      <c r="CL38" s="203">
        <v>5</v>
      </c>
      <c r="CM38" s="203"/>
      <c r="CN38" s="143"/>
      <c r="CO38" s="143"/>
      <c r="CP38" s="203"/>
      <c r="CQ38" s="143"/>
      <c r="CR38" s="203"/>
      <c r="CS38" s="143"/>
      <c r="CT38" s="300"/>
    </row>
    <row r="39" spans="1:98" x14ac:dyDescent="0.25">
      <c r="A39" s="24" t="s">
        <v>24</v>
      </c>
      <c r="B39" s="18" t="s">
        <v>689</v>
      </c>
      <c r="C39" s="203" t="s">
        <v>707</v>
      </c>
      <c r="D39" s="65" t="s">
        <v>28</v>
      </c>
      <c r="E39" s="65" t="s">
        <v>29</v>
      </c>
      <c r="F39" s="2" t="s">
        <v>36</v>
      </c>
      <c r="G39" s="168" t="s">
        <v>735</v>
      </c>
      <c r="H39" s="262" t="s">
        <v>706</v>
      </c>
      <c r="I39" s="46"/>
      <c r="J39" s="46"/>
      <c r="K39" s="88" t="s">
        <v>275</v>
      </c>
      <c r="L39" s="46"/>
      <c r="M39" s="19"/>
      <c r="N39" s="46"/>
      <c r="O39" s="46"/>
      <c r="P39" s="46"/>
      <c r="Q39" s="19"/>
      <c r="R39" s="19"/>
      <c r="S39" s="19"/>
      <c r="T39" s="20"/>
      <c r="U39" s="19"/>
      <c r="V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M39" s="46"/>
      <c r="AQ39" s="19"/>
      <c r="AR39" s="19"/>
      <c r="AS39" s="19"/>
      <c r="AT39" s="19"/>
      <c r="AU39" s="19"/>
      <c r="AV39" s="19">
        <v>1</v>
      </c>
      <c r="AW39" s="19"/>
      <c r="AY39" s="19"/>
      <c r="AZ39" s="20"/>
      <c r="BA39" s="19"/>
      <c r="BB39" s="19"/>
      <c r="BC39" s="19"/>
      <c r="BD39" s="19"/>
      <c r="BE39" s="19"/>
      <c r="BF39" s="19"/>
      <c r="BG39" s="19"/>
      <c r="BH39" s="20"/>
      <c r="BI39" s="19"/>
      <c r="BJ39" s="19"/>
      <c r="BK39" s="20"/>
      <c r="BL39" s="252">
        <v>7.71</v>
      </c>
      <c r="BM39" s="244">
        <f t="shared" ref="BM39:BM40" si="30">ROUND((BL39*1.5+4)*10,0)/10</f>
        <v>15.6</v>
      </c>
      <c r="BN39" s="244">
        <f t="shared" ref="BN39:BN40" si="31">ROUND((BL39*1.5+10)*10,0)/10</f>
        <v>21.6</v>
      </c>
      <c r="BO39" s="244">
        <f t="shared" ref="BO39:BO40" si="32">ROUND(BN39/0.7*1.22,0)</f>
        <v>38</v>
      </c>
      <c r="BP39" s="82"/>
      <c r="BQ39" s="159"/>
      <c r="BR39" s="125"/>
      <c r="BS39" s="125"/>
      <c r="BT39" s="137"/>
      <c r="BU39" s="137"/>
      <c r="BV39" s="143"/>
      <c r="BW39" s="170"/>
      <c r="BX39" s="143"/>
      <c r="BY39" s="143"/>
      <c r="BZ39" s="203"/>
      <c r="CA39" s="143"/>
      <c r="CB39" s="196"/>
      <c r="CC39" s="203"/>
      <c r="CD39" s="203"/>
      <c r="CE39" s="143"/>
      <c r="CF39" s="203"/>
      <c r="CG39" s="143"/>
      <c r="CH39" s="181">
        <v>5</v>
      </c>
      <c r="CI39" s="143"/>
      <c r="CJ39" s="203"/>
      <c r="CK39" s="203">
        <v>5</v>
      </c>
      <c r="CL39" s="203"/>
      <c r="CM39" s="203"/>
      <c r="CN39" s="143"/>
      <c r="CO39" s="143"/>
      <c r="CP39" s="203"/>
      <c r="CQ39" s="143"/>
      <c r="CR39" s="203"/>
      <c r="CS39" s="143"/>
      <c r="CT39" s="300"/>
    </row>
    <row r="40" spans="1:98" x14ac:dyDescent="0.25">
      <c r="A40" s="24" t="s">
        <v>24</v>
      </c>
      <c r="B40" s="18" t="s">
        <v>689</v>
      </c>
      <c r="C40" s="203" t="s">
        <v>738</v>
      </c>
      <c r="D40" s="65" t="s">
        <v>28</v>
      </c>
      <c r="E40" s="65" t="s">
        <v>29</v>
      </c>
      <c r="F40" s="2" t="s">
        <v>36</v>
      </c>
      <c r="G40" s="168" t="s">
        <v>736</v>
      </c>
      <c r="H40" s="282" t="s">
        <v>737</v>
      </c>
      <c r="I40" s="46"/>
      <c r="J40" s="46"/>
      <c r="K40" s="88" t="s">
        <v>275</v>
      </c>
      <c r="L40" s="46"/>
      <c r="M40" s="19"/>
      <c r="N40" s="46"/>
      <c r="O40" s="46"/>
      <c r="P40" s="46"/>
      <c r="Q40" s="19"/>
      <c r="R40" s="19"/>
      <c r="S40" s="19"/>
      <c r="T40" s="20"/>
      <c r="U40" s="19"/>
      <c r="V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M40" s="46"/>
      <c r="AQ40" s="19"/>
      <c r="AR40" s="19"/>
      <c r="AS40" s="19"/>
      <c r="AT40" s="19"/>
      <c r="AU40" s="19"/>
      <c r="AV40" s="19"/>
      <c r="AW40" s="19"/>
      <c r="AY40" s="19"/>
      <c r="AZ40" s="20"/>
      <c r="BA40" s="19"/>
      <c r="BB40" s="19"/>
      <c r="BC40" s="19"/>
      <c r="BD40" s="19"/>
      <c r="BE40" s="19"/>
      <c r="BF40" s="19"/>
      <c r="BG40" s="19"/>
      <c r="BH40" s="20"/>
      <c r="BI40" s="19"/>
      <c r="BJ40" s="19"/>
      <c r="BK40" s="20"/>
      <c r="BL40" s="252">
        <v>6.12</v>
      </c>
      <c r="BM40" s="244">
        <f t="shared" si="30"/>
        <v>13.2</v>
      </c>
      <c r="BN40" s="244">
        <f t="shared" si="31"/>
        <v>19.2</v>
      </c>
      <c r="BO40" s="244">
        <f t="shared" si="32"/>
        <v>33</v>
      </c>
      <c r="BP40" s="82"/>
      <c r="BQ40" s="159"/>
      <c r="BR40" s="125"/>
      <c r="BS40" s="125"/>
      <c r="BT40" s="137"/>
      <c r="BU40" s="137"/>
      <c r="BV40" s="143"/>
      <c r="BW40" s="170"/>
      <c r="BX40" s="143"/>
      <c r="BY40" s="143"/>
      <c r="BZ40" s="203"/>
      <c r="CA40" s="143"/>
      <c r="CB40" s="196"/>
      <c r="CC40" s="203"/>
      <c r="CD40" s="203"/>
      <c r="CE40" s="143"/>
      <c r="CF40" s="203"/>
      <c r="CG40" s="143"/>
      <c r="CH40" s="143"/>
      <c r="CI40" s="181">
        <v>5</v>
      </c>
      <c r="CJ40" s="203"/>
      <c r="CK40" s="203"/>
      <c r="CL40" s="203"/>
      <c r="CM40" s="203">
        <v>5</v>
      </c>
      <c r="CN40" s="143"/>
      <c r="CO40" s="143"/>
      <c r="CP40" s="203"/>
      <c r="CQ40" s="143"/>
      <c r="CR40" s="203"/>
      <c r="CS40" s="143"/>
      <c r="CT40" s="300"/>
    </row>
    <row r="41" spans="1:98" x14ac:dyDescent="0.25">
      <c r="A41" s="24" t="s">
        <v>24</v>
      </c>
      <c r="B41" s="18" t="s">
        <v>689</v>
      </c>
      <c r="C41" s="203" t="s">
        <v>739</v>
      </c>
      <c r="D41" s="65" t="s">
        <v>28</v>
      </c>
      <c r="E41" s="65" t="s">
        <v>29</v>
      </c>
      <c r="F41" s="2" t="s">
        <v>36</v>
      </c>
      <c r="G41" s="168" t="s">
        <v>740</v>
      </c>
      <c r="H41" s="282" t="s">
        <v>741</v>
      </c>
      <c r="I41" s="46"/>
      <c r="J41" s="46"/>
      <c r="K41" s="88" t="s">
        <v>275</v>
      </c>
      <c r="L41" s="46"/>
      <c r="M41" s="19"/>
      <c r="N41" s="46"/>
      <c r="O41" s="46"/>
      <c r="P41" s="46"/>
      <c r="Q41" s="19"/>
      <c r="R41" s="19"/>
      <c r="S41" s="19"/>
      <c r="T41" s="20"/>
      <c r="U41" s="19"/>
      <c r="V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M41" s="46"/>
      <c r="AN41" s="46">
        <v>1</v>
      </c>
      <c r="AQ41" s="19"/>
      <c r="AR41" s="19"/>
      <c r="AS41" s="19"/>
      <c r="AT41" s="19"/>
      <c r="AU41" s="19"/>
      <c r="AV41" s="19"/>
      <c r="AW41" s="19"/>
      <c r="AY41" s="19"/>
      <c r="AZ41" s="20"/>
      <c r="BA41" s="19"/>
      <c r="BB41" s="19"/>
      <c r="BC41" s="19"/>
      <c r="BD41" s="19"/>
      <c r="BE41" s="19"/>
      <c r="BF41" s="19"/>
      <c r="BG41" s="19"/>
      <c r="BH41" s="20"/>
      <c r="BI41" s="19"/>
      <c r="BJ41" s="19"/>
      <c r="BK41" s="20"/>
      <c r="BL41" s="252">
        <v>6.14</v>
      </c>
      <c r="BM41" s="244">
        <f t="shared" ref="BM41" si="33">ROUND((BL41*1.5+4)*10,0)/10</f>
        <v>13.2</v>
      </c>
      <c r="BN41" s="244">
        <f t="shared" ref="BN41" si="34">ROUND((BL41*1.5+10)*10,0)/10</f>
        <v>19.2</v>
      </c>
      <c r="BO41" s="244">
        <f t="shared" ref="BO41" si="35">ROUND(BN41/0.7*1.22,0)</f>
        <v>33</v>
      </c>
      <c r="BP41" s="82"/>
      <c r="BQ41" s="159"/>
      <c r="BR41" s="125"/>
      <c r="BS41" s="125"/>
      <c r="BT41" s="137"/>
      <c r="BU41" s="137"/>
      <c r="BV41" s="143"/>
      <c r="BW41" s="170"/>
      <c r="BX41" s="143"/>
      <c r="BY41" s="143"/>
      <c r="BZ41" s="203"/>
      <c r="CA41" s="143"/>
      <c r="CB41" s="196"/>
      <c r="CC41" s="203"/>
      <c r="CD41" s="203"/>
      <c r="CE41" s="143"/>
      <c r="CF41" s="203"/>
      <c r="CG41" s="143"/>
      <c r="CH41" s="143"/>
      <c r="CI41" s="181">
        <v>5</v>
      </c>
      <c r="CJ41" s="203"/>
      <c r="CK41" s="203"/>
      <c r="CL41" s="203"/>
      <c r="CM41" s="203">
        <v>5</v>
      </c>
      <c r="CN41" s="143"/>
      <c r="CO41" s="143"/>
      <c r="CP41" s="203"/>
      <c r="CQ41" s="143"/>
      <c r="CR41" s="203"/>
      <c r="CS41" s="143"/>
      <c r="CT41" s="300"/>
    </row>
    <row r="42" spans="1:98" x14ac:dyDescent="0.25">
      <c r="A42" s="24" t="s">
        <v>24</v>
      </c>
      <c r="B42" s="18" t="s">
        <v>689</v>
      </c>
      <c r="C42" s="203" t="s">
        <v>746</v>
      </c>
      <c r="D42" s="65" t="s">
        <v>28</v>
      </c>
      <c r="E42" s="65" t="s">
        <v>29</v>
      </c>
      <c r="F42" s="2" t="s">
        <v>36</v>
      </c>
      <c r="G42" s="168" t="s">
        <v>742</v>
      </c>
      <c r="H42" s="282" t="s">
        <v>743</v>
      </c>
      <c r="I42" s="46"/>
      <c r="J42" s="46"/>
      <c r="K42" s="88" t="s">
        <v>275</v>
      </c>
      <c r="L42" s="46"/>
      <c r="M42" s="19"/>
      <c r="N42" s="46"/>
      <c r="O42" s="46"/>
      <c r="P42" s="46"/>
      <c r="Q42" s="19"/>
      <c r="R42" s="19"/>
      <c r="S42" s="19"/>
      <c r="T42" s="20"/>
      <c r="U42" s="19"/>
      <c r="V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M42" s="46"/>
      <c r="AN42" s="46"/>
      <c r="AQ42" s="19"/>
      <c r="AR42" s="19"/>
      <c r="AS42" s="19"/>
      <c r="AT42" s="19"/>
      <c r="AU42" s="19"/>
      <c r="AV42" s="19"/>
      <c r="AW42" s="19"/>
      <c r="AX42" s="46">
        <v>1</v>
      </c>
      <c r="AY42" s="19"/>
      <c r="AZ42" s="20"/>
      <c r="BA42" s="19"/>
      <c r="BB42" s="19"/>
      <c r="BC42" s="19"/>
      <c r="BD42" s="19"/>
      <c r="BE42" s="19"/>
      <c r="BF42" s="19"/>
      <c r="BG42" s="19"/>
      <c r="BH42" s="20"/>
      <c r="BI42" s="19"/>
      <c r="BJ42" s="19"/>
      <c r="BK42" s="20"/>
      <c r="BL42" s="252">
        <v>8.27</v>
      </c>
      <c r="BM42" s="244">
        <f t="shared" ref="BM42" si="36">ROUND((BL42*1.5+4)*10,0)/10</f>
        <v>16.399999999999999</v>
      </c>
      <c r="BN42" s="244">
        <f t="shared" ref="BN42" si="37">ROUND((BL42*1.5+10)*10,0)/10</f>
        <v>22.4</v>
      </c>
      <c r="BO42" s="244">
        <f t="shared" ref="BO42" si="38">ROUND(BN42/0.7*1.22,0)</f>
        <v>39</v>
      </c>
      <c r="BP42" s="82"/>
      <c r="BQ42" s="159"/>
      <c r="BR42" s="125"/>
      <c r="BS42" s="125"/>
      <c r="BT42" s="137"/>
      <c r="BU42" s="137"/>
      <c r="BV42" s="143"/>
      <c r="BW42" s="170"/>
      <c r="BX42" s="143"/>
      <c r="BY42" s="143"/>
      <c r="BZ42" s="203"/>
      <c r="CA42" s="143"/>
      <c r="CB42" s="196"/>
      <c r="CC42" s="203"/>
      <c r="CD42" s="203"/>
      <c r="CE42" s="143"/>
      <c r="CF42" s="203"/>
      <c r="CG42" s="143"/>
      <c r="CH42" s="143"/>
      <c r="CI42" s="181">
        <v>5</v>
      </c>
      <c r="CJ42" s="203"/>
      <c r="CK42" s="203"/>
      <c r="CL42" s="203"/>
      <c r="CM42" s="203">
        <v>5</v>
      </c>
      <c r="CN42" s="143"/>
      <c r="CO42" s="143"/>
      <c r="CP42" s="203"/>
      <c r="CQ42" s="143"/>
      <c r="CR42" s="203"/>
      <c r="CS42" s="143"/>
      <c r="CT42" s="300"/>
    </row>
    <row r="43" spans="1:98" x14ac:dyDescent="0.25">
      <c r="A43" s="24" t="s">
        <v>24</v>
      </c>
      <c r="B43" s="18" t="s">
        <v>631</v>
      </c>
      <c r="C43" s="203" t="s">
        <v>633</v>
      </c>
      <c r="D43" s="65" t="s">
        <v>28</v>
      </c>
      <c r="E43" s="65" t="s">
        <v>29</v>
      </c>
      <c r="F43" s="2" t="s">
        <v>36</v>
      </c>
      <c r="G43" s="168" t="s">
        <v>627</v>
      </c>
      <c r="H43" s="2" t="s">
        <v>629</v>
      </c>
      <c r="I43" s="46"/>
      <c r="J43" s="46"/>
      <c r="K43" s="88" t="s">
        <v>275</v>
      </c>
      <c r="L43" s="46"/>
      <c r="M43" s="19"/>
      <c r="N43" s="46"/>
      <c r="O43" s="46"/>
      <c r="P43" s="46"/>
      <c r="Q43" s="19"/>
      <c r="R43" s="19"/>
      <c r="S43" s="19"/>
      <c r="T43" s="20"/>
      <c r="U43" s="19"/>
      <c r="V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M43" s="46"/>
      <c r="AQ43" s="19"/>
      <c r="AR43" s="19"/>
      <c r="AS43" s="19">
        <v>1</v>
      </c>
      <c r="AT43" s="19"/>
      <c r="AU43" s="19"/>
      <c r="AV43" s="19"/>
      <c r="AW43" s="19"/>
      <c r="AY43" s="19"/>
      <c r="AZ43" s="20"/>
      <c r="BA43" s="19"/>
      <c r="BB43" s="19"/>
      <c r="BC43" s="19"/>
      <c r="BD43" s="19"/>
      <c r="BE43" s="19"/>
      <c r="BF43" s="19"/>
      <c r="BG43" s="19"/>
      <c r="BH43" s="20"/>
      <c r="BI43" s="19"/>
      <c r="BJ43" s="19"/>
      <c r="BK43" s="20"/>
      <c r="BL43" s="252">
        <v>6.84</v>
      </c>
      <c r="BM43" s="244">
        <f t="shared" ref="BM43:BM44" si="39">ROUND((BL43*1.5+4)*10,0)/10</f>
        <v>14.3</v>
      </c>
      <c r="BN43" s="244">
        <f t="shared" ref="BN43:BN44" si="40">ROUND((BL43*1.5+10)*10,0)/10</f>
        <v>20.3</v>
      </c>
      <c r="BO43" s="244">
        <f t="shared" ref="BO43:BO44" si="41">ROUND(BN43/0.7*1.22,0)</f>
        <v>35</v>
      </c>
      <c r="BP43" s="82">
        <v>0</v>
      </c>
      <c r="BQ43" s="159">
        <v>5</v>
      </c>
      <c r="BR43" s="125"/>
      <c r="BS43" s="125"/>
      <c r="BT43" s="137"/>
      <c r="BU43" s="137"/>
      <c r="BV43" s="143"/>
      <c r="BW43" s="170"/>
      <c r="BX43" s="143"/>
      <c r="BY43" s="143"/>
      <c r="BZ43" s="203"/>
      <c r="CA43" s="143"/>
      <c r="CB43" s="143"/>
      <c r="CC43" s="203"/>
      <c r="CD43" s="203"/>
      <c r="CE43" s="143"/>
      <c r="CF43" s="203"/>
      <c r="CG43" s="181">
        <v>5</v>
      </c>
      <c r="CH43" s="143"/>
      <c r="CI43" s="143"/>
      <c r="CJ43" s="203"/>
      <c r="CK43" s="203"/>
      <c r="CL43" s="203"/>
      <c r="CM43" s="203"/>
      <c r="CN43" s="143"/>
      <c r="CO43" s="143"/>
      <c r="CP43" s="203"/>
      <c r="CQ43" s="143"/>
      <c r="CR43" s="203"/>
      <c r="CS43" s="143"/>
      <c r="CT43" s="300"/>
    </row>
    <row r="44" spans="1:98" x14ac:dyDescent="0.25">
      <c r="A44" s="24" t="s">
        <v>24</v>
      </c>
      <c r="B44" s="18" t="s">
        <v>632</v>
      </c>
      <c r="C44" s="203" t="s">
        <v>634</v>
      </c>
      <c r="D44" s="65" t="s">
        <v>28</v>
      </c>
      <c r="E44" s="65" t="s">
        <v>29</v>
      </c>
      <c r="F44" s="2" t="s">
        <v>36</v>
      </c>
      <c r="G44" s="168" t="s">
        <v>628</v>
      </c>
      <c r="H44" s="2" t="s">
        <v>630</v>
      </c>
      <c r="I44" s="46"/>
      <c r="J44" s="46"/>
      <c r="K44" s="88" t="s">
        <v>275</v>
      </c>
      <c r="L44" s="46"/>
      <c r="M44" s="19"/>
      <c r="N44" s="46"/>
      <c r="O44" s="46"/>
      <c r="P44" s="46"/>
      <c r="Q44" s="19"/>
      <c r="R44" s="19"/>
      <c r="S44" s="19"/>
      <c r="T44" s="20"/>
      <c r="U44" s="19"/>
      <c r="V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M44" s="46"/>
      <c r="AQ44" s="19"/>
      <c r="AR44" s="19"/>
      <c r="AS44" s="19"/>
      <c r="AT44" s="19">
        <v>1</v>
      </c>
      <c r="AU44" s="19"/>
      <c r="AV44" s="19"/>
      <c r="AW44" s="19"/>
      <c r="AY44" s="19"/>
      <c r="AZ44" s="20"/>
      <c r="BA44" s="19"/>
      <c r="BB44" s="19"/>
      <c r="BC44" s="19"/>
      <c r="BD44" s="19"/>
      <c r="BE44" s="19"/>
      <c r="BF44" s="19"/>
      <c r="BG44" s="19"/>
      <c r="BH44" s="20"/>
      <c r="BI44" s="19"/>
      <c r="BJ44" s="19"/>
      <c r="BK44" s="20"/>
      <c r="BL44" s="252">
        <v>7.65</v>
      </c>
      <c r="BM44" s="244">
        <f t="shared" si="39"/>
        <v>15.5</v>
      </c>
      <c r="BN44" s="244">
        <f t="shared" si="40"/>
        <v>21.5</v>
      </c>
      <c r="BO44" s="244">
        <f t="shared" si="41"/>
        <v>37</v>
      </c>
      <c r="BP44" s="82">
        <v>0</v>
      </c>
      <c r="BQ44" s="159">
        <v>5</v>
      </c>
      <c r="BR44" s="125"/>
      <c r="BS44" s="125"/>
      <c r="BT44" s="137"/>
      <c r="BU44" s="137"/>
      <c r="BV44" s="143"/>
      <c r="BW44" s="170"/>
      <c r="BX44" s="143"/>
      <c r="BY44" s="143"/>
      <c r="BZ44" s="203"/>
      <c r="CA44" s="143"/>
      <c r="CB44" s="143"/>
      <c r="CC44" s="203"/>
      <c r="CD44" s="203"/>
      <c r="CE44" s="143"/>
      <c r="CF44" s="203"/>
      <c r="CG44" s="181">
        <v>5</v>
      </c>
      <c r="CH44" s="143"/>
      <c r="CI44" s="143"/>
      <c r="CJ44" s="203"/>
      <c r="CK44" s="203"/>
      <c r="CL44" s="203"/>
      <c r="CM44" s="203"/>
      <c r="CN44" s="143"/>
      <c r="CO44" s="143"/>
      <c r="CP44" s="203"/>
      <c r="CQ44" s="143"/>
      <c r="CR44" s="203"/>
      <c r="CS44" s="143"/>
      <c r="CT44" s="300"/>
    </row>
    <row r="45" spans="1:98" x14ac:dyDescent="0.25">
      <c r="A45" s="24" t="s">
        <v>24</v>
      </c>
      <c r="B45" s="18" t="s">
        <v>649</v>
      </c>
      <c r="C45" s="203" t="s">
        <v>646</v>
      </c>
      <c r="D45" s="65" t="s">
        <v>28</v>
      </c>
      <c r="E45" s="65" t="s">
        <v>29</v>
      </c>
      <c r="F45" s="2" t="s">
        <v>36</v>
      </c>
      <c r="G45" s="168" t="s">
        <v>647</v>
      </c>
      <c r="H45" s="2" t="s">
        <v>648</v>
      </c>
      <c r="I45" s="46"/>
      <c r="J45" s="46"/>
      <c r="K45" s="88" t="s">
        <v>275</v>
      </c>
      <c r="L45" s="46"/>
      <c r="M45" s="19"/>
      <c r="N45" s="46"/>
      <c r="O45" s="46"/>
      <c r="P45" s="46"/>
      <c r="Q45" s="19"/>
      <c r="R45" s="19"/>
      <c r="S45" s="19"/>
      <c r="T45" s="20"/>
      <c r="U45" s="19"/>
      <c r="V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M45" s="46"/>
      <c r="AQ45" s="19"/>
      <c r="AR45" s="19"/>
      <c r="AS45" s="19"/>
      <c r="AT45" s="19"/>
      <c r="AU45" s="19">
        <v>1</v>
      </c>
      <c r="AV45" s="19"/>
      <c r="AW45" s="19"/>
      <c r="AY45" s="19"/>
      <c r="AZ45" s="20"/>
      <c r="BA45" s="19"/>
      <c r="BB45" s="19"/>
      <c r="BC45" s="19"/>
      <c r="BD45" s="19"/>
      <c r="BE45" s="19"/>
      <c r="BF45" s="19"/>
      <c r="BG45" s="19"/>
      <c r="BH45" s="20"/>
      <c r="BI45" s="19"/>
      <c r="BJ45" s="19"/>
      <c r="BK45" s="20"/>
      <c r="BL45" s="252">
        <v>10.25</v>
      </c>
      <c r="BM45" s="244">
        <f t="shared" ref="BM45" si="42">ROUND((BL45*1.5+4)*10,0)/10</f>
        <v>19.399999999999999</v>
      </c>
      <c r="BN45" s="244">
        <f t="shared" ref="BN45" si="43">ROUND((BL45*1.5+10)*10,0)/10</f>
        <v>25.4</v>
      </c>
      <c r="BO45" s="244">
        <f t="shared" ref="BO45" si="44">ROUND(BN45/0.7*1.22,0)</f>
        <v>44</v>
      </c>
      <c r="BP45" s="82">
        <v>0</v>
      </c>
      <c r="BQ45" s="159">
        <v>5</v>
      </c>
      <c r="BR45" s="125"/>
      <c r="BS45" s="125"/>
      <c r="BT45" s="137"/>
      <c r="BU45" s="137"/>
      <c r="BV45" s="143"/>
      <c r="BW45" s="170"/>
      <c r="BX45" s="143"/>
      <c r="BY45" s="143"/>
      <c r="BZ45" s="203"/>
      <c r="CA45" s="143"/>
      <c r="CB45" s="143"/>
      <c r="CC45" s="203"/>
      <c r="CD45" s="203"/>
      <c r="CE45" s="143"/>
      <c r="CF45" s="203"/>
      <c r="CG45" s="181">
        <v>5</v>
      </c>
      <c r="CH45" s="143"/>
      <c r="CI45" s="143"/>
      <c r="CJ45" s="203"/>
      <c r="CK45" s="203"/>
      <c r="CL45" s="203"/>
      <c r="CM45" s="203"/>
      <c r="CN45" s="143"/>
      <c r="CO45" s="143"/>
      <c r="CP45" s="203"/>
      <c r="CQ45" s="143"/>
      <c r="CR45" s="203"/>
      <c r="CS45" s="143"/>
      <c r="CT45" s="300"/>
    </row>
    <row r="46" spans="1:98" x14ac:dyDescent="0.25">
      <c r="A46" s="24" t="s">
        <v>24</v>
      </c>
      <c r="B46" s="18" t="s">
        <v>241</v>
      </c>
      <c r="C46" s="205" t="s">
        <v>494</v>
      </c>
      <c r="D46" s="65" t="s">
        <v>28</v>
      </c>
      <c r="E46" s="65" t="s">
        <v>29</v>
      </c>
      <c r="F46" s="2" t="s">
        <v>36</v>
      </c>
      <c r="G46" s="71" t="s">
        <v>43</v>
      </c>
      <c r="H46" s="2" t="s">
        <v>161</v>
      </c>
      <c r="I46" s="46" t="s">
        <v>425</v>
      </c>
      <c r="J46" s="46" t="s">
        <v>419</v>
      </c>
      <c r="K46" s="88" t="s">
        <v>275</v>
      </c>
      <c r="L46" s="46"/>
      <c r="M46" s="19"/>
      <c r="N46" s="46"/>
      <c r="O46" s="46"/>
      <c r="P46" s="46"/>
      <c r="Q46" s="19"/>
      <c r="R46" s="19"/>
      <c r="S46" s="19"/>
      <c r="T46" s="20"/>
      <c r="U46" s="19"/>
      <c r="V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M46" s="46"/>
      <c r="AQ46" s="19"/>
      <c r="AR46" s="19"/>
      <c r="AS46" s="19"/>
      <c r="AT46" s="19"/>
      <c r="AU46" s="19"/>
      <c r="AV46" s="19"/>
      <c r="AW46" s="19"/>
      <c r="AY46" s="19"/>
      <c r="AZ46" s="20"/>
      <c r="BA46" s="19"/>
      <c r="BB46" s="19"/>
      <c r="BC46" s="19"/>
      <c r="BD46" s="19"/>
      <c r="BE46" s="19"/>
      <c r="BF46" s="19"/>
      <c r="BG46" s="19"/>
      <c r="BH46" s="20">
        <v>1</v>
      </c>
      <c r="BI46" s="19"/>
      <c r="BJ46" s="19"/>
      <c r="BK46" s="20"/>
      <c r="BL46" s="251">
        <v>10.53</v>
      </c>
      <c r="BM46" s="244">
        <f t="shared" si="9"/>
        <v>19.8</v>
      </c>
      <c r="BN46" s="244">
        <f t="shared" si="10"/>
        <v>25.8</v>
      </c>
      <c r="BO46" s="244">
        <f t="shared" si="11"/>
        <v>45</v>
      </c>
      <c r="BP46" s="82">
        <v>8</v>
      </c>
      <c r="BQ46" s="159">
        <v>6</v>
      </c>
      <c r="BR46" s="106">
        <v>2</v>
      </c>
      <c r="BS46" s="106"/>
      <c r="BT46" s="137"/>
      <c r="BU46" s="137"/>
      <c r="BV46" s="143"/>
      <c r="BW46" s="182">
        <v>1</v>
      </c>
      <c r="BX46" s="181">
        <v>5</v>
      </c>
      <c r="BY46" s="143"/>
      <c r="BZ46" s="203"/>
      <c r="CA46" s="143"/>
      <c r="CB46" s="143"/>
      <c r="CC46" s="203"/>
      <c r="CD46" s="203"/>
      <c r="CE46" s="143"/>
      <c r="CF46" s="203"/>
      <c r="CG46" s="143"/>
      <c r="CH46" s="143"/>
      <c r="CI46" s="143"/>
      <c r="CJ46" s="203"/>
      <c r="CK46" s="203"/>
      <c r="CL46" s="203"/>
      <c r="CM46" s="203"/>
      <c r="CN46" s="143"/>
      <c r="CO46" s="143"/>
      <c r="CP46" s="203"/>
      <c r="CQ46" s="143"/>
      <c r="CR46" s="203"/>
      <c r="CS46" s="143"/>
      <c r="CT46" s="300"/>
    </row>
    <row r="47" spans="1:98" x14ac:dyDescent="0.25">
      <c r="A47" s="24" t="s">
        <v>24</v>
      </c>
      <c r="B47" s="18" t="s">
        <v>242</v>
      </c>
      <c r="C47" s="203" t="s">
        <v>102</v>
      </c>
      <c r="D47" s="65" t="s">
        <v>28</v>
      </c>
      <c r="E47" s="65" t="s">
        <v>29</v>
      </c>
      <c r="F47" s="2" t="s">
        <v>36</v>
      </c>
      <c r="G47" s="71" t="s">
        <v>44</v>
      </c>
      <c r="H47" s="2" t="s">
        <v>162</v>
      </c>
      <c r="I47" s="46"/>
      <c r="J47" s="46" t="s">
        <v>419</v>
      </c>
      <c r="K47" s="88" t="s">
        <v>275</v>
      </c>
      <c r="L47" s="46"/>
      <c r="M47" s="19"/>
      <c r="N47" s="46"/>
      <c r="O47" s="46"/>
      <c r="P47" s="46"/>
      <c r="Q47" s="19"/>
      <c r="R47" s="19"/>
      <c r="S47" s="19"/>
      <c r="T47" s="20"/>
      <c r="U47" s="19"/>
      <c r="V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M47" s="46"/>
      <c r="AQ47" s="19"/>
      <c r="AR47" s="19"/>
      <c r="AS47" s="19"/>
      <c r="AT47" s="19"/>
      <c r="AU47" s="19"/>
      <c r="AV47" s="19"/>
      <c r="AW47" s="19"/>
      <c r="AY47" s="19"/>
      <c r="AZ47" s="20"/>
      <c r="BA47" s="19"/>
      <c r="BB47" s="19"/>
      <c r="BC47" s="19"/>
      <c r="BD47" s="19"/>
      <c r="BE47" s="19"/>
      <c r="BF47" s="19"/>
      <c r="BG47" s="19"/>
      <c r="BH47" s="20"/>
      <c r="BI47" s="19">
        <v>1</v>
      </c>
      <c r="BJ47" s="19">
        <v>1</v>
      </c>
      <c r="BK47" s="20"/>
      <c r="BL47" s="251">
        <v>10.601000000000001</v>
      </c>
      <c r="BM47" s="244">
        <f t="shared" si="9"/>
        <v>19.899999999999999</v>
      </c>
      <c r="BN47" s="244">
        <f t="shared" si="10"/>
        <v>25.9</v>
      </c>
      <c r="BO47" s="244">
        <f t="shared" si="11"/>
        <v>45</v>
      </c>
      <c r="BP47" s="82">
        <v>4</v>
      </c>
      <c r="BQ47" s="159">
        <v>0</v>
      </c>
      <c r="BR47" s="119">
        <v>2</v>
      </c>
      <c r="BS47" s="107"/>
      <c r="BT47" s="137"/>
      <c r="BU47" s="137"/>
      <c r="BV47" s="143"/>
      <c r="BW47" s="170"/>
      <c r="BX47" s="143"/>
      <c r="BY47" s="143"/>
      <c r="BZ47" s="203"/>
      <c r="CA47" s="143"/>
      <c r="CB47" s="143"/>
      <c r="CC47" s="203"/>
      <c r="CD47" s="203"/>
      <c r="CE47" s="143"/>
      <c r="CF47" s="203"/>
      <c r="CG47" s="143"/>
      <c r="CH47" s="143"/>
      <c r="CI47" s="143"/>
      <c r="CJ47" s="203"/>
      <c r="CK47" s="203"/>
      <c r="CL47" s="203"/>
      <c r="CM47" s="203"/>
      <c r="CN47" s="143"/>
      <c r="CO47" s="143"/>
      <c r="CP47" s="203"/>
      <c r="CQ47" s="143"/>
      <c r="CR47" s="203"/>
      <c r="CS47" s="143"/>
      <c r="CT47" s="300"/>
    </row>
    <row r="48" spans="1:98" x14ac:dyDescent="0.25">
      <c r="A48" s="24" t="s">
        <v>24</v>
      </c>
      <c r="B48" s="18" t="s">
        <v>243</v>
      </c>
      <c r="C48" s="203" t="s">
        <v>103</v>
      </c>
      <c r="D48" s="65" t="s">
        <v>28</v>
      </c>
      <c r="E48" s="65" t="s">
        <v>29</v>
      </c>
      <c r="F48" s="2" t="s">
        <v>36</v>
      </c>
      <c r="G48" s="71" t="s">
        <v>45</v>
      </c>
      <c r="H48" s="2" t="s">
        <v>163</v>
      </c>
      <c r="I48" s="46"/>
      <c r="J48" s="46" t="s">
        <v>419</v>
      </c>
      <c r="K48" s="88" t="s">
        <v>275</v>
      </c>
      <c r="L48" s="46"/>
      <c r="M48" s="19"/>
      <c r="N48" s="46"/>
      <c r="O48" s="46"/>
      <c r="P48" s="46"/>
      <c r="Q48" s="19"/>
      <c r="R48" s="19"/>
      <c r="S48" s="19"/>
      <c r="T48" s="20"/>
      <c r="U48" s="19"/>
      <c r="V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M48" s="46"/>
      <c r="AQ48" s="19"/>
      <c r="AR48" s="19"/>
      <c r="AS48" s="19"/>
      <c r="AT48" s="19"/>
      <c r="AU48" s="19"/>
      <c r="AV48" s="19"/>
      <c r="AW48" s="19"/>
      <c r="AY48" s="19"/>
      <c r="AZ48" s="20"/>
      <c r="BA48" s="19"/>
      <c r="BB48" s="19"/>
      <c r="BC48" s="19"/>
      <c r="BD48" s="19"/>
      <c r="BE48" s="19"/>
      <c r="BF48" s="19"/>
      <c r="BG48" s="19"/>
      <c r="BH48" s="20"/>
      <c r="BI48" s="19"/>
      <c r="BJ48" s="19"/>
      <c r="BK48" s="20">
        <v>1</v>
      </c>
      <c r="BL48" s="251">
        <v>11.276</v>
      </c>
      <c r="BM48" s="244">
        <f t="shared" si="9"/>
        <v>20.9</v>
      </c>
      <c r="BN48" s="244">
        <f t="shared" si="10"/>
        <v>26.9</v>
      </c>
      <c r="BO48" s="244">
        <f t="shared" si="11"/>
        <v>47</v>
      </c>
      <c r="BP48" s="82">
        <v>1</v>
      </c>
      <c r="BQ48" s="159">
        <v>0</v>
      </c>
      <c r="BR48" s="119">
        <v>1</v>
      </c>
      <c r="BS48" s="107"/>
      <c r="BT48" s="137"/>
      <c r="BU48" s="137"/>
      <c r="BV48" s="143"/>
      <c r="BW48" s="170"/>
      <c r="BX48" s="143"/>
      <c r="BY48" s="143"/>
      <c r="BZ48" s="203"/>
      <c r="CA48" s="143"/>
      <c r="CB48" s="143"/>
      <c r="CC48" s="203"/>
      <c r="CD48" s="203"/>
      <c r="CE48" s="143"/>
      <c r="CF48" s="203"/>
      <c r="CG48" s="143"/>
      <c r="CH48" s="143"/>
      <c r="CI48" s="143"/>
      <c r="CJ48" s="203"/>
      <c r="CK48" s="203"/>
      <c r="CL48" s="203"/>
      <c r="CM48" s="203"/>
      <c r="CN48" s="143"/>
      <c r="CO48" s="143"/>
      <c r="CP48" s="203"/>
      <c r="CQ48" s="143"/>
      <c r="CR48" s="203"/>
      <c r="CS48" s="143"/>
      <c r="CT48" s="300"/>
    </row>
    <row r="49" spans="1:98" x14ac:dyDescent="0.25">
      <c r="A49" s="24" t="s">
        <v>24</v>
      </c>
      <c r="B49" s="18" t="s">
        <v>244</v>
      </c>
      <c r="C49" s="47" t="s">
        <v>85</v>
      </c>
      <c r="D49" s="65" t="s">
        <v>28</v>
      </c>
      <c r="E49" s="65" t="s">
        <v>29</v>
      </c>
      <c r="F49" s="2" t="s">
        <v>36</v>
      </c>
      <c r="G49" s="71" t="s">
        <v>89</v>
      </c>
      <c r="H49" s="2" t="s">
        <v>164</v>
      </c>
      <c r="I49" s="46"/>
      <c r="J49" s="46" t="s">
        <v>419</v>
      </c>
      <c r="K49" s="95" t="s">
        <v>275</v>
      </c>
      <c r="L49" s="46">
        <v>1</v>
      </c>
      <c r="M49" s="19"/>
      <c r="N49" s="77">
        <v>0</v>
      </c>
      <c r="O49" s="77">
        <v>0</v>
      </c>
      <c r="P49" s="77">
        <v>0</v>
      </c>
      <c r="Q49" s="19"/>
      <c r="R49" s="19"/>
      <c r="S49" s="19"/>
      <c r="T49" s="20"/>
      <c r="U49" s="19"/>
      <c r="V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M49" s="46"/>
      <c r="AQ49" s="19"/>
      <c r="AR49" s="19"/>
      <c r="AS49" s="19"/>
      <c r="AT49" s="19"/>
      <c r="AU49" s="19"/>
      <c r="AV49" s="19"/>
      <c r="AW49" s="19"/>
      <c r="AY49" s="19"/>
      <c r="AZ49" s="20"/>
      <c r="BA49" s="19"/>
      <c r="BB49" s="19"/>
      <c r="BC49" s="19"/>
      <c r="BD49" s="19"/>
      <c r="BE49" s="19"/>
      <c r="BF49" s="19"/>
      <c r="BG49" s="19"/>
      <c r="BH49" s="20"/>
      <c r="BI49" s="19"/>
      <c r="BJ49" s="19"/>
      <c r="BK49" s="20"/>
      <c r="BL49" s="252">
        <v>6</v>
      </c>
      <c r="BM49" s="244">
        <f t="shared" si="9"/>
        <v>13</v>
      </c>
      <c r="BN49" s="244">
        <f t="shared" si="10"/>
        <v>19</v>
      </c>
      <c r="BO49" s="244">
        <f t="shared" si="11"/>
        <v>33</v>
      </c>
      <c r="BP49" s="82"/>
      <c r="BQ49" s="159"/>
      <c r="BR49" s="106">
        <v>2</v>
      </c>
      <c r="BS49" s="106"/>
      <c r="BT49" s="137"/>
      <c r="BU49" s="137"/>
      <c r="BV49" s="143"/>
      <c r="BW49" s="170"/>
      <c r="BX49" s="143"/>
      <c r="BY49" s="143"/>
      <c r="BZ49" s="203"/>
      <c r="CA49" s="143"/>
      <c r="CB49" s="143"/>
      <c r="CC49" s="203"/>
      <c r="CD49" s="203"/>
      <c r="CE49" s="143"/>
      <c r="CF49" s="203"/>
      <c r="CG49" s="143"/>
      <c r="CH49" s="143"/>
      <c r="CI49" s="143"/>
      <c r="CJ49" s="203"/>
      <c r="CK49" s="203"/>
      <c r="CL49" s="203"/>
      <c r="CM49" s="203"/>
      <c r="CN49" s="143"/>
      <c r="CO49" s="143"/>
      <c r="CP49" s="203"/>
      <c r="CQ49" s="143"/>
      <c r="CR49" s="203"/>
      <c r="CS49" s="143"/>
      <c r="CT49" s="300"/>
    </row>
    <row r="50" spans="1:98" x14ac:dyDescent="0.25">
      <c r="A50" s="127" t="s">
        <v>24</v>
      </c>
      <c r="B50" s="18" t="s">
        <v>316</v>
      </c>
      <c r="C50" s="203" t="s">
        <v>315</v>
      </c>
      <c r="D50" s="70" t="s">
        <v>28</v>
      </c>
      <c r="E50" s="70" t="s">
        <v>29</v>
      </c>
      <c r="F50" s="1" t="s">
        <v>36</v>
      </c>
      <c r="G50" s="110" t="s">
        <v>317</v>
      </c>
      <c r="H50" s="1" t="s">
        <v>318</v>
      </c>
      <c r="I50" s="46" t="s">
        <v>426</v>
      </c>
      <c r="J50" s="46" t="s">
        <v>419</v>
      </c>
      <c r="K50" s="88" t="s">
        <v>275</v>
      </c>
      <c r="L50" s="46"/>
      <c r="M50" s="111"/>
      <c r="N50" s="46"/>
      <c r="O50" s="46"/>
      <c r="P50" s="46"/>
      <c r="Q50" s="111"/>
      <c r="R50" s="111"/>
      <c r="S50" s="111"/>
      <c r="T50" s="112"/>
      <c r="U50" s="111"/>
      <c r="V50" s="111"/>
      <c r="X50" s="113"/>
      <c r="Y50" s="114">
        <v>1</v>
      </c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M50" s="46"/>
      <c r="AQ50" s="111"/>
      <c r="AR50" s="111"/>
      <c r="AS50" s="111"/>
      <c r="AT50" s="111"/>
      <c r="AU50" s="111"/>
      <c r="AV50" s="111"/>
      <c r="AW50" s="111"/>
      <c r="AY50" s="111"/>
      <c r="AZ50" s="112"/>
      <c r="BA50" s="111"/>
      <c r="BB50" s="111"/>
      <c r="BC50" s="111"/>
      <c r="BD50" s="111"/>
      <c r="BE50" s="111"/>
      <c r="BF50" s="111"/>
      <c r="BG50" s="111"/>
      <c r="BH50" s="112"/>
      <c r="BI50" s="111"/>
      <c r="BJ50" s="111"/>
      <c r="BK50" s="112"/>
      <c r="BL50" s="257">
        <v>6.4</v>
      </c>
      <c r="BM50" s="244">
        <f t="shared" si="9"/>
        <v>13.6</v>
      </c>
      <c r="BN50" s="244">
        <f t="shared" si="10"/>
        <v>19.600000000000001</v>
      </c>
      <c r="BO50" s="244">
        <f t="shared" si="11"/>
        <v>34</v>
      </c>
      <c r="BP50" s="82">
        <v>1</v>
      </c>
      <c r="BQ50" s="159">
        <v>1</v>
      </c>
      <c r="BR50" s="105"/>
      <c r="BS50" s="105"/>
      <c r="BT50" s="119">
        <v>2</v>
      </c>
      <c r="BU50" s="107"/>
      <c r="BV50" s="143"/>
      <c r="BW50" s="170"/>
      <c r="BX50" s="143"/>
      <c r="BY50" s="143"/>
      <c r="BZ50" s="203"/>
      <c r="CA50" s="143"/>
      <c r="CB50" s="143"/>
      <c r="CC50" s="203"/>
      <c r="CD50" s="203"/>
      <c r="CE50" s="143"/>
      <c r="CF50" s="203"/>
      <c r="CG50" s="143"/>
      <c r="CH50" s="143"/>
      <c r="CI50" s="143"/>
      <c r="CJ50" s="203"/>
      <c r="CK50" s="203"/>
      <c r="CL50" s="203"/>
      <c r="CM50" s="203"/>
      <c r="CN50" s="143"/>
      <c r="CO50" s="143"/>
      <c r="CP50" s="203"/>
      <c r="CQ50" s="143"/>
      <c r="CR50" s="203"/>
      <c r="CS50" s="143"/>
      <c r="CT50" s="300"/>
    </row>
    <row r="51" spans="1:98" x14ac:dyDescent="0.25">
      <c r="A51" s="127" t="s">
        <v>353</v>
      </c>
      <c r="B51" s="18" t="s">
        <v>355</v>
      </c>
      <c r="C51" s="203" t="s">
        <v>342</v>
      </c>
      <c r="D51" s="70" t="s">
        <v>28</v>
      </c>
      <c r="E51" s="70" t="s">
        <v>29</v>
      </c>
      <c r="F51" s="1" t="s">
        <v>36</v>
      </c>
      <c r="G51" s="110" t="s">
        <v>319</v>
      </c>
      <c r="H51" s="1" t="s">
        <v>320</v>
      </c>
      <c r="I51" s="46" t="s">
        <v>427</v>
      </c>
      <c r="J51" s="46" t="s">
        <v>419</v>
      </c>
      <c r="K51" s="88" t="s">
        <v>275</v>
      </c>
      <c r="L51" s="46"/>
      <c r="M51" s="111"/>
      <c r="N51" s="115">
        <v>1</v>
      </c>
      <c r="O51" s="6"/>
      <c r="P51" s="6"/>
      <c r="Q51" s="111"/>
      <c r="R51" s="111"/>
      <c r="S51" s="111"/>
      <c r="T51" s="112"/>
      <c r="U51" s="111"/>
      <c r="V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M51" s="46"/>
      <c r="AQ51" s="111"/>
      <c r="AR51" s="111"/>
      <c r="AS51" s="111"/>
      <c r="AT51" s="111"/>
      <c r="AU51" s="111"/>
      <c r="AV51" s="111"/>
      <c r="AW51" s="111"/>
      <c r="AY51" s="111"/>
      <c r="AZ51" s="112"/>
      <c r="BA51" s="111"/>
      <c r="BB51" s="111"/>
      <c r="BC51" s="111"/>
      <c r="BD51" s="111"/>
      <c r="BE51" s="111"/>
      <c r="BF51" s="111"/>
      <c r="BG51" s="111"/>
      <c r="BH51" s="112"/>
      <c r="BI51" s="111"/>
      <c r="BJ51" s="111"/>
      <c r="BK51" s="112"/>
      <c r="BL51" s="252">
        <v>6.4</v>
      </c>
      <c r="BM51" s="244">
        <f t="shared" si="9"/>
        <v>13.6</v>
      </c>
      <c r="BN51" s="244">
        <f t="shared" si="10"/>
        <v>19.600000000000001</v>
      </c>
      <c r="BO51" s="244">
        <f t="shared" si="11"/>
        <v>34</v>
      </c>
      <c r="BP51" s="82">
        <v>0</v>
      </c>
      <c r="BQ51" s="159">
        <v>3</v>
      </c>
      <c r="BR51" s="105"/>
      <c r="BS51" s="105"/>
      <c r="BT51" s="119">
        <v>2</v>
      </c>
      <c r="BU51" s="119">
        <v>1</v>
      </c>
      <c r="BV51" s="143"/>
      <c r="BW51" s="170"/>
      <c r="BX51" s="143"/>
      <c r="BY51" s="143"/>
      <c r="BZ51" s="203"/>
      <c r="CA51" s="143"/>
      <c r="CB51" s="143"/>
      <c r="CC51" s="203"/>
      <c r="CD51" s="203"/>
      <c r="CE51" s="143"/>
      <c r="CF51" s="203"/>
      <c r="CG51" s="143"/>
      <c r="CH51" s="143"/>
      <c r="CI51" s="143"/>
      <c r="CJ51" s="203"/>
      <c r="CK51" s="203"/>
      <c r="CL51" s="203"/>
      <c r="CM51" s="203"/>
      <c r="CN51" s="143"/>
      <c r="CO51" s="143"/>
      <c r="CP51" s="203"/>
      <c r="CQ51" s="143"/>
      <c r="CR51" s="203"/>
      <c r="CS51" s="143"/>
      <c r="CT51" s="300"/>
    </row>
    <row r="52" spans="1:98" x14ac:dyDescent="0.25">
      <c r="A52" s="127" t="s">
        <v>354</v>
      </c>
      <c r="B52" s="18" t="s">
        <v>356</v>
      </c>
      <c r="C52" s="203" t="s">
        <v>375</v>
      </c>
      <c r="D52" s="70" t="s">
        <v>28</v>
      </c>
      <c r="E52" s="70" t="s">
        <v>29</v>
      </c>
      <c r="F52" s="1" t="s">
        <v>36</v>
      </c>
      <c r="G52" s="110" t="s">
        <v>351</v>
      </c>
      <c r="H52" s="1" t="s">
        <v>352</v>
      </c>
      <c r="I52" s="46" t="s">
        <v>428</v>
      </c>
      <c r="J52" s="46" t="s">
        <v>419</v>
      </c>
      <c r="K52" s="88" t="s">
        <v>275</v>
      </c>
      <c r="L52" s="46"/>
      <c r="M52" s="111"/>
      <c r="N52" s="46"/>
      <c r="O52" s="115">
        <v>1</v>
      </c>
      <c r="P52" s="6"/>
      <c r="Q52" s="111"/>
      <c r="R52" s="111"/>
      <c r="S52" s="111"/>
      <c r="T52" s="112"/>
      <c r="U52" s="111"/>
      <c r="V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M52" s="46"/>
      <c r="AQ52" s="111"/>
      <c r="AR52" s="111"/>
      <c r="AS52" s="111"/>
      <c r="AT52" s="111"/>
      <c r="AU52" s="111"/>
      <c r="AV52" s="111"/>
      <c r="AW52" s="111"/>
      <c r="AY52" s="111"/>
      <c r="AZ52" s="112"/>
      <c r="BA52" s="111"/>
      <c r="BB52" s="111"/>
      <c r="BC52" s="111"/>
      <c r="BD52" s="111"/>
      <c r="BE52" s="111"/>
      <c r="BF52" s="111"/>
      <c r="BG52" s="111"/>
      <c r="BH52" s="112"/>
      <c r="BI52" s="111"/>
      <c r="BJ52" s="111"/>
      <c r="BK52" s="112"/>
      <c r="BL52" s="252">
        <v>6.4</v>
      </c>
      <c r="BM52" s="244">
        <f t="shared" si="9"/>
        <v>13.6</v>
      </c>
      <c r="BN52" s="244">
        <f t="shared" si="10"/>
        <v>19.600000000000001</v>
      </c>
      <c r="BO52" s="244">
        <f t="shared" si="11"/>
        <v>34</v>
      </c>
      <c r="BP52" s="82">
        <v>0</v>
      </c>
      <c r="BQ52" s="159">
        <v>4</v>
      </c>
      <c r="BR52" s="105"/>
      <c r="BS52" s="105"/>
      <c r="BT52" s="107"/>
      <c r="BU52" s="119">
        <v>4</v>
      </c>
      <c r="BV52" s="143"/>
      <c r="BW52" s="170"/>
      <c r="BX52" s="143"/>
      <c r="BY52" s="143"/>
      <c r="BZ52" s="203"/>
      <c r="CA52" s="143"/>
      <c r="CB52" s="143"/>
      <c r="CC52" s="203"/>
      <c r="CD52" s="203"/>
      <c r="CE52" s="143"/>
      <c r="CF52" s="203"/>
      <c r="CG52" s="143"/>
      <c r="CH52" s="143"/>
      <c r="CI52" s="143"/>
      <c r="CJ52" s="203"/>
      <c r="CK52" s="203"/>
      <c r="CL52" s="203"/>
      <c r="CM52" s="203"/>
      <c r="CN52" s="143"/>
      <c r="CO52" s="143"/>
      <c r="CP52" s="203"/>
      <c r="CQ52" s="143"/>
      <c r="CR52" s="203"/>
      <c r="CS52" s="143"/>
      <c r="CT52" s="300"/>
    </row>
    <row r="53" spans="1:98" x14ac:dyDescent="0.25">
      <c r="A53" s="127" t="s">
        <v>388</v>
      </c>
      <c r="B53" s="18" t="s">
        <v>397</v>
      </c>
      <c r="C53" s="206" t="s">
        <v>390</v>
      </c>
      <c r="D53" s="70" t="s">
        <v>28</v>
      </c>
      <c r="E53" s="70" t="s">
        <v>29</v>
      </c>
      <c r="F53" s="1" t="s">
        <v>36</v>
      </c>
      <c r="G53" s="110" t="s">
        <v>386</v>
      </c>
      <c r="H53" s="1" t="s">
        <v>387</v>
      </c>
      <c r="I53" s="46" t="s">
        <v>429</v>
      </c>
      <c r="J53" s="46" t="s">
        <v>419</v>
      </c>
      <c r="K53" s="88" t="s">
        <v>275</v>
      </c>
      <c r="L53" s="46"/>
      <c r="M53" s="111"/>
      <c r="N53" s="46"/>
      <c r="O53" s="46"/>
      <c r="P53" s="115">
        <v>1</v>
      </c>
      <c r="Q53" s="111"/>
      <c r="R53" s="115">
        <v>1</v>
      </c>
      <c r="S53" s="111"/>
      <c r="T53" s="112"/>
      <c r="U53" s="111"/>
      <c r="V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M53" s="46"/>
      <c r="AQ53" s="111"/>
      <c r="AR53" s="111"/>
      <c r="AS53" s="111"/>
      <c r="AT53" s="111"/>
      <c r="AU53" s="111"/>
      <c r="AV53" s="111"/>
      <c r="AW53" s="111"/>
      <c r="AY53" s="111"/>
      <c r="AZ53" s="112"/>
      <c r="BA53" s="111"/>
      <c r="BB53" s="111"/>
      <c r="BC53" s="111"/>
      <c r="BD53" s="111"/>
      <c r="BE53" s="111"/>
      <c r="BF53" s="111"/>
      <c r="BG53" s="111"/>
      <c r="BH53" s="112"/>
      <c r="BI53" s="111"/>
      <c r="BJ53" s="111"/>
      <c r="BK53" s="112"/>
      <c r="BL53" s="252">
        <v>6.4</v>
      </c>
      <c r="BM53" s="244">
        <f t="shared" si="9"/>
        <v>13.6</v>
      </c>
      <c r="BN53" s="244">
        <f t="shared" si="10"/>
        <v>19.600000000000001</v>
      </c>
      <c r="BO53" s="244">
        <f t="shared" si="11"/>
        <v>34</v>
      </c>
      <c r="BP53" s="82">
        <v>0</v>
      </c>
      <c r="BQ53" s="159">
        <v>4</v>
      </c>
      <c r="BR53" s="105"/>
      <c r="BS53" s="105"/>
      <c r="BT53" s="107"/>
      <c r="BU53" s="119">
        <v>4</v>
      </c>
      <c r="BV53" s="143"/>
      <c r="BW53" s="170"/>
      <c r="BX53" s="143"/>
      <c r="BY53" s="143"/>
      <c r="BZ53" s="203"/>
      <c r="CA53" s="143"/>
      <c r="CB53" s="143"/>
      <c r="CC53" s="203"/>
      <c r="CD53" s="203"/>
      <c r="CE53" s="143"/>
      <c r="CF53" s="203"/>
      <c r="CG53" s="143"/>
      <c r="CH53" s="143"/>
      <c r="CI53" s="143"/>
      <c r="CJ53" s="203"/>
      <c r="CK53" s="203"/>
      <c r="CL53" s="203"/>
      <c r="CM53" s="203"/>
      <c r="CN53" s="143"/>
      <c r="CO53" s="143"/>
      <c r="CP53" s="203"/>
      <c r="CQ53" s="143"/>
      <c r="CR53" s="203"/>
      <c r="CS53" s="143"/>
      <c r="CT53" s="300"/>
    </row>
    <row r="54" spans="1:98" x14ac:dyDescent="0.25">
      <c r="A54" s="127" t="s">
        <v>353</v>
      </c>
      <c r="B54" s="18" t="s">
        <v>389</v>
      </c>
      <c r="C54" s="203" t="s">
        <v>374</v>
      </c>
      <c r="D54" s="70" t="s">
        <v>28</v>
      </c>
      <c r="E54" s="70" t="s">
        <v>29</v>
      </c>
      <c r="F54" s="1" t="s">
        <v>36</v>
      </c>
      <c r="G54" s="110" t="s">
        <v>364</v>
      </c>
      <c r="H54" s="1" t="s">
        <v>368</v>
      </c>
      <c r="I54" s="46" t="s">
        <v>430</v>
      </c>
      <c r="J54" s="46" t="s">
        <v>419</v>
      </c>
      <c r="K54" s="88" t="s">
        <v>275</v>
      </c>
      <c r="L54" s="46"/>
      <c r="M54" s="111"/>
      <c r="N54" s="46"/>
      <c r="O54" s="46"/>
      <c r="P54" s="46"/>
      <c r="Q54" s="111">
        <v>1</v>
      </c>
      <c r="R54" s="111"/>
      <c r="S54" s="111"/>
      <c r="T54" s="112"/>
      <c r="U54" s="111"/>
      <c r="V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M54" s="46"/>
      <c r="AQ54" s="111"/>
      <c r="AR54" s="111"/>
      <c r="AS54" s="111"/>
      <c r="AT54" s="111"/>
      <c r="AU54" s="111"/>
      <c r="AV54" s="111"/>
      <c r="AW54" s="111"/>
      <c r="AY54" s="111"/>
      <c r="AZ54" s="112"/>
      <c r="BA54" s="111"/>
      <c r="BB54" s="111"/>
      <c r="BC54" s="111"/>
      <c r="BD54" s="111"/>
      <c r="BE54" s="111"/>
      <c r="BF54" s="111"/>
      <c r="BG54" s="111"/>
      <c r="BH54" s="112"/>
      <c r="BI54" s="111"/>
      <c r="BJ54" s="111"/>
      <c r="BK54" s="112"/>
      <c r="BL54" s="252">
        <v>6.96</v>
      </c>
      <c r="BM54" s="244">
        <f t="shared" si="9"/>
        <v>14.4</v>
      </c>
      <c r="BN54" s="244">
        <f t="shared" si="10"/>
        <v>20.399999999999999</v>
      </c>
      <c r="BO54" s="244">
        <f t="shared" si="11"/>
        <v>36</v>
      </c>
      <c r="BP54" s="82">
        <v>1</v>
      </c>
      <c r="BQ54" s="159">
        <v>6</v>
      </c>
      <c r="BR54" s="105"/>
      <c r="BS54" s="105"/>
      <c r="BT54" s="107"/>
      <c r="BU54" s="119">
        <v>2</v>
      </c>
      <c r="BV54" s="143"/>
      <c r="BW54" s="170"/>
      <c r="BX54" s="143"/>
      <c r="BY54" s="143"/>
      <c r="BZ54" s="203"/>
      <c r="CA54" s="181">
        <v>5</v>
      </c>
      <c r="CB54" s="143"/>
      <c r="CC54" s="203"/>
      <c r="CD54" s="203">
        <v>5</v>
      </c>
      <c r="CE54" s="143"/>
      <c r="CF54" s="203"/>
      <c r="CG54" s="143"/>
      <c r="CH54" s="143"/>
      <c r="CI54" s="143"/>
      <c r="CJ54" s="203"/>
      <c r="CK54" s="203"/>
      <c r="CL54" s="203"/>
      <c r="CM54" s="203"/>
      <c r="CN54" s="143"/>
      <c r="CO54" s="143"/>
      <c r="CP54" s="203"/>
      <c r="CQ54" s="143"/>
      <c r="CR54" s="203"/>
      <c r="CS54" s="143"/>
      <c r="CT54" s="300"/>
    </row>
    <row r="55" spans="1:98" x14ac:dyDescent="0.25">
      <c r="A55" s="127" t="s">
        <v>383</v>
      </c>
      <c r="B55" s="18" t="s">
        <v>379</v>
      </c>
      <c r="C55" s="203" t="s">
        <v>382</v>
      </c>
      <c r="D55" s="70" t="s">
        <v>28</v>
      </c>
      <c r="E55" s="70" t="s">
        <v>29</v>
      </c>
      <c r="F55" s="1" t="s">
        <v>36</v>
      </c>
      <c r="G55" s="156" t="s">
        <v>381</v>
      </c>
      <c r="H55" s="1" t="s">
        <v>380</v>
      </c>
      <c r="I55" s="46" t="s">
        <v>431</v>
      </c>
      <c r="J55" s="46" t="s">
        <v>419</v>
      </c>
      <c r="K55" s="88" t="s">
        <v>275</v>
      </c>
      <c r="L55" s="46"/>
      <c r="M55" s="111"/>
      <c r="N55" s="46"/>
      <c r="O55" s="46"/>
      <c r="P55" s="46"/>
      <c r="Q55" s="111"/>
      <c r="R55" s="111"/>
      <c r="S55" s="111">
        <v>1</v>
      </c>
      <c r="T55" s="112"/>
      <c r="U55" s="111"/>
      <c r="V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M55" s="46"/>
      <c r="AQ55" s="111"/>
      <c r="AR55" s="111"/>
      <c r="AS55" s="111"/>
      <c r="AT55" s="111"/>
      <c r="AU55" s="111"/>
      <c r="AV55" s="111"/>
      <c r="AW55" s="111"/>
      <c r="AY55" s="111"/>
      <c r="AZ55" s="112"/>
      <c r="BA55" s="111"/>
      <c r="BB55" s="111"/>
      <c r="BC55" s="111"/>
      <c r="BD55" s="111"/>
      <c r="BE55" s="111"/>
      <c r="BF55" s="111"/>
      <c r="BG55" s="111"/>
      <c r="BH55" s="112"/>
      <c r="BI55" s="111"/>
      <c r="BJ55" s="111"/>
      <c r="BK55" s="112"/>
      <c r="BL55" s="252">
        <v>4.75</v>
      </c>
      <c r="BM55" s="244">
        <f t="shared" si="9"/>
        <v>11.1</v>
      </c>
      <c r="BN55" s="244">
        <f t="shared" si="10"/>
        <v>17.100000000000001</v>
      </c>
      <c r="BO55" s="244">
        <f t="shared" si="11"/>
        <v>30</v>
      </c>
      <c r="BP55" s="82">
        <v>0</v>
      </c>
      <c r="BQ55" s="159">
        <v>2</v>
      </c>
      <c r="BR55" s="105"/>
      <c r="BS55" s="105"/>
      <c r="BT55" s="109"/>
      <c r="BU55" s="119" t="s">
        <v>497</v>
      </c>
      <c r="BV55" s="143"/>
      <c r="BW55" s="170"/>
      <c r="BX55" s="143"/>
      <c r="BY55" s="143"/>
      <c r="BZ55" s="203"/>
      <c r="CA55" s="143"/>
      <c r="CB55" s="143"/>
      <c r="CC55" s="203"/>
      <c r="CD55" s="203"/>
      <c r="CE55" s="143"/>
      <c r="CF55" s="203"/>
      <c r="CG55" s="143"/>
      <c r="CH55" s="143"/>
      <c r="CI55" s="143"/>
      <c r="CJ55" s="203"/>
      <c r="CK55" s="203"/>
      <c r="CL55" s="203"/>
      <c r="CM55" s="203"/>
      <c r="CN55" s="143"/>
      <c r="CO55" s="143"/>
      <c r="CP55" s="203"/>
      <c r="CQ55" s="143"/>
      <c r="CR55" s="203"/>
      <c r="CS55" s="143"/>
      <c r="CT55" s="300"/>
    </row>
    <row r="56" spans="1:98" x14ac:dyDescent="0.25">
      <c r="A56" s="45" t="s">
        <v>82</v>
      </c>
      <c r="B56" s="25" t="s">
        <v>245</v>
      </c>
      <c r="C56" s="204">
        <v>12170000000169</v>
      </c>
      <c r="D56" s="66" t="s">
        <v>28</v>
      </c>
      <c r="E56" s="66" t="s">
        <v>29</v>
      </c>
      <c r="F56" s="5" t="s">
        <v>47</v>
      </c>
      <c r="G56" s="72" t="s">
        <v>30</v>
      </c>
      <c r="H56" s="5" t="s">
        <v>165</v>
      </c>
      <c r="I56" s="48" t="s">
        <v>432</v>
      </c>
      <c r="J56" s="48">
        <v>1</v>
      </c>
      <c r="K56" s="89" t="s">
        <v>554</v>
      </c>
      <c r="L56" s="48">
        <v>2</v>
      </c>
      <c r="M56" s="21">
        <v>2</v>
      </c>
      <c r="N56" s="48">
        <v>2</v>
      </c>
      <c r="O56" s="48">
        <v>2</v>
      </c>
      <c r="P56" s="48">
        <v>2</v>
      </c>
      <c r="Q56" s="21">
        <v>2</v>
      </c>
      <c r="R56" s="21">
        <v>2</v>
      </c>
      <c r="S56" s="21">
        <v>2</v>
      </c>
      <c r="T56" s="26">
        <v>2</v>
      </c>
      <c r="U56" s="21">
        <v>2</v>
      </c>
      <c r="V56" s="21">
        <v>2</v>
      </c>
      <c r="W56" s="48">
        <v>2</v>
      </c>
      <c r="X56" s="21">
        <v>2</v>
      </c>
      <c r="Y56" s="21">
        <v>2</v>
      </c>
      <c r="Z56" s="21">
        <v>2</v>
      </c>
      <c r="AA56" s="21">
        <v>2</v>
      </c>
      <c r="AB56" s="21"/>
      <c r="AC56" s="21"/>
      <c r="AD56" s="21">
        <v>2</v>
      </c>
      <c r="AE56" s="21">
        <v>2</v>
      </c>
      <c r="AF56" s="21">
        <v>2</v>
      </c>
      <c r="AG56" s="21">
        <v>2</v>
      </c>
      <c r="AH56" s="21">
        <v>2</v>
      </c>
      <c r="AI56" s="21">
        <v>2</v>
      </c>
      <c r="AJ56" s="48" t="s">
        <v>756</v>
      </c>
      <c r="AK56" s="48">
        <v>2</v>
      </c>
      <c r="AL56" s="48">
        <v>2</v>
      </c>
      <c r="AM56" s="48">
        <v>2</v>
      </c>
      <c r="AN56" s="48">
        <v>2</v>
      </c>
      <c r="AO56" s="48">
        <v>2</v>
      </c>
      <c r="AP56" s="48">
        <v>2</v>
      </c>
      <c r="AQ56" s="21">
        <v>2</v>
      </c>
      <c r="AR56" s="21">
        <v>2</v>
      </c>
      <c r="AS56" s="21">
        <v>2</v>
      </c>
      <c r="AT56" s="21">
        <v>2</v>
      </c>
      <c r="AU56" s="21"/>
      <c r="AV56" s="21"/>
      <c r="AW56" s="21">
        <v>4</v>
      </c>
      <c r="AX56" s="48">
        <v>4</v>
      </c>
      <c r="AY56" s="21">
        <v>4</v>
      </c>
      <c r="AZ56" s="26">
        <v>4</v>
      </c>
      <c r="BA56" s="21">
        <v>0</v>
      </c>
      <c r="BB56" s="21">
        <v>0</v>
      </c>
      <c r="BC56" s="21">
        <v>0</v>
      </c>
      <c r="BD56" s="21"/>
      <c r="BE56" s="21">
        <v>0</v>
      </c>
      <c r="BF56" s="21">
        <v>0</v>
      </c>
      <c r="BG56" s="21"/>
      <c r="BH56" s="26">
        <v>0</v>
      </c>
      <c r="BI56" s="21">
        <v>4</v>
      </c>
      <c r="BJ56" s="21">
        <v>4</v>
      </c>
      <c r="BK56" s="26">
        <v>4</v>
      </c>
      <c r="BL56" s="253">
        <v>0.1</v>
      </c>
      <c r="BM56" s="244">
        <f t="shared" si="9"/>
        <v>4.2</v>
      </c>
      <c r="BN56" s="244">
        <f t="shared" si="10"/>
        <v>10.199999999999999</v>
      </c>
      <c r="BO56" s="244">
        <f t="shared" si="11"/>
        <v>18</v>
      </c>
      <c r="BP56" s="82">
        <v>43</v>
      </c>
      <c r="BQ56" s="159">
        <v>31</v>
      </c>
      <c r="BR56" s="118"/>
      <c r="BS56" s="118"/>
      <c r="BT56" s="167"/>
      <c r="BU56" s="124">
        <v>20</v>
      </c>
      <c r="BV56" s="153"/>
      <c r="BW56" s="172"/>
      <c r="BX56" s="153"/>
      <c r="BY56" s="153"/>
      <c r="BZ56" s="204"/>
      <c r="CA56" s="185">
        <v>30</v>
      </c>
      <c r="CB56" s="153"/>
      <c r="CC56" s="204"/>
      <c r="CD56" s="204">
        <v>30</v>
      </c>
      <c r="CE56" s="153"/>
      <c r="CF56" s="204"/>
      <c r="CG56" s="153"/>
      <c r="CH56" s="185">
        <v>20</v>
      </c>
      <c r="CI56" s="153"/>
      <c r="CJ56" s="204"/>
      <c r="CK56" s="204">
        <v>20</v>
      </c>
      <c r="CL56" s="204"/>
      <c r="CM56" s="204"/>
      <c r="CN56" s="153"/>
      <c r="CO56" s="153"/>
      <c r="CP56" s="204"/>
      <c r="CQ56" s="153"/>
      <c r="CR56" s="204"/>
      <c r="CS56" s="153"/>
      <c r="CT56" s="300"/>
    </row>
    <row r="57" spans="1:98" x14ac:dyDescent="0.25">
      <c r="A57" s="127" t="s">
        <v>82</v>
      </c>
      <c r="B57" s="18" t="s">
        <v>508</v>
      </c>
      <c r="C57" s="203">
        <v>12170000000192</v>
      </c>
      <c r="D57" s="65" t="s">
        <v>28</v>
      </c>
      <c r="E57" s="65" t="s">
        <v>29</v>
      </c>
      <c r="F57" s="2" t="s">
        <v>47</v>
      </c>
      <c r="G57" s="71" t="s">
        <v>41</v>
      </c>
      <c r="H57" s="2" t="s">
        <v>555</v>
      </c>
      <c r="I57" s="46"/>
      <c r="J57" s="46"/>
      <c r="K57" s="88" t="s">
        <v>554</v>
      </c>
      <c r="L57" s="46"/>
      <c r="M57" s="19"/>
      <c r="N57" s="46"/>
      <c r="O57" s="46"/>
      <c r="P57" s="46"/>
      <c r="Q57" s="19"/>
      <c r="R57" s="19"/>
      <c r="S57" s="19"/>
      <c r="T57" s="20"/>
      <c r="U57" s="19"/>
      <c r="V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M57" s="46"/>
      <c r="AQ57" s="19"/>
      <c r="AR57" s="19"/>
      <c r="AS57" s="19"/>
      <c r="AT57" s="19"/>
      <c r="AU57" s="19"/>
      <c r="AV57" s="19"/>
      <c r="AW57" s="19"/>
      <c r="AY57" s="19"/>
      <c r="AZ57" s="20"/>
      <c r="BA57" s="19">
        <v>4</v>
      </c>
      <c r="BB57" s="19">
        <v>4</v>
      </c>
      <c r="BC57" s="19">
        <v>4</v>
      </c>
      <c r="BD57" s="19">
        <v>4</v>
      </c>
      <c r="BE57" s="19">
        <v>4</v>
      </c>
      <c r="BF57" s="19">
        <v>4</v>
      </c>
      <c r="BG57" s="19">
        <v>4</v>
      </c>
      <c r="BH57" s="20">
        <v>4</v>
      </c>
      <c r="BI57" s="19"/>
      <c r="BJ57" s="19"/>
      <c r="BK57" s="20"/>
      <c r="BL57" s="252">
        <v>0.1</v>
      </c>
      <c r="BM57" s="244">
        <f t="shared" si="9"/>
        <v>4.2</v>
      </c>
      <c r="BN57" s="244">
        <f t="shared" si="10"/>
        <v>10.199999999999999</v>
      </c>
      <c r="BO57" s="244">
        <f t="shared" si="11"/>
        <v>18</v>
      </c>
      <c r="BP57" s="82">
        <v>5</v>
      </c>
      <c r="BQ57" s="159">
        <v>21</v>
      </c>
      <c r="BR57" s="105"/>
      <c r="BS57" s="105"/>
      <c r="BT57" s="137"/>
      <c r="BU57" s="107"/>
      <c r="BV57" s="143"/>
      <c r="BW57" s="170"/>
      <c r="BX57" s="143"/>
      <c r="BY57" s="143"/>
      <c r="BZ57" s="203"/>
      <c r="CA57" s="181">
        <v>20</v>
      </c>
      <c r="CB57" s="143"/>
      <c r="CC57" s="203"/>
      <c r="CD57" s="203">
        <v>20</v>
      </c>
      <c r="CE57" s="143"/>
      <c r="CF57" s="203"/>
      <c r="CG57" s="143"/>
      <c r="CH57" s="143"/>
      <c r="CI57" s="143"/>
      <c r="CJ57" s="203"/>
      <c r="CK57" s="203"/>
      <c r="CL57" s="203"/>
      <c r="CM57" s="203"/>
      <c r="CN57" s="143"/>
      <c r="CO57" s="143"/>
      <c r="CP57" s="203"/>
      <c r="CQ57" s="143"/>
      <c r="CR57" s="203"/>
      <c r="CS57" s="143"/>
      <c r="CT57" s="300"/>
    </row>
    <row r="58" spans="1:98" x14ac:dyDescent="0.25">
      <c r="A58" s="127" t="s">
        <v>82</v>
      </c>
      <c r="B58" s="18" t="s">
        <v>508</v>
      </c>
      <c r="C58" s="203">
        <v>12670000003291</v>
      </c>
      <c r="D58" s="65" t="s">
        <v>28</v>
      </c>
      <c r="E58" s="65" t="s">
        <v>29</v>
      </c>
      <c r="F58" s="2" t="s">
        <v>47</v>
      </c>
      <c r="G58" s="71" t="s">
        <v>37</v>
      </c>
      <c r="H58" s="2" t="s">
        <v>509</v>
      </c>
      <c r="I58" s="46"/>
      <c r="J58" s="46">
        <v>1</v>
      </c>
      <c r="K58" s="88" t="s">
        <v>554</v>
      </c>
      <c r="L58" s="46"/>
      <c r="M58" s="19"/>
      <c r="N58" s="46"/>
      <c r="O58" s="46"/>
      <c r="P58" s="46"/>
      <c r="Q58" s="19"/>
      <c r="R58" s="19"/>
      <c r="S58" s="19"/>
      <c r="T58" s="20"/>
      <c r="U58" s="19"/>
      <c r="V58" s="19"/>
      <c r="X58" s="19"/>
      <c r="Y58" s="19"/>
      <c r="Z58" s="19"/>
      <c r="AA58" s="19"/>
      <c r="AB58" s="19">
        <v>2</v>
      </c>
      <c r="AC58" s="19">
        <v>2</v>
      </c>
      <c r="AD58" s="19"/>
      <c r="AE58" s="19"/>
      <c r="AF58" s="19"/>
      <c r="AG58" s="19"/>
      <c r="AH58" s="19"/>
      <c r="AI58" s="19"/>
      <c r="AJ58" s="19"/>
      <c r="AM58" s="46"/>
      <c r="AQ58" s="19"/>
      <c r="AR58" s="19"/>
      <c r="AS58" s="19"/>
      <c r="AT58" s="19"/>
      <c r="AU58" s="19">
        <v>2</v>
      </c>
      <c r="AV58" s="19">
        <v>2</v>
      </c>
      <c r="AW58" s="19"/>
      <c r="AY58" s="19"/>
      <c r="AZ58" s="20"/>
      <c r="BA58" s="19"/>
      <c r="BB58" s="19"/>
      <c r="BC58" s="19"/>
      <c r="BD58" s="19"/>
      <c r="BE58" s="19"/>
      <c r="BF58" s="19"/>
      <c r="BG58" s="19"/>
      <c r="BH58" s="20"/>
      <c r="BI58" s="19"/>
      <c r="BJ58" s="19"/>
      <c r="BK58" s="20"/>
      <c r="BL58" s="252">
        <v>0.1</v>
      </c>
      <c r="BM58" s="244">
        <f t="shared" si="9"/>
        <v>4.2</v>
      </c>
      <c r="BN58" s="244">
        <f t="shared" si="10"/>
        <v>10.199999999999999</v>
      </c>
      <c r="BO58" s="244">
        <f t="shared" si="11"/>
        <v>18</v>
      </c>
      <c r="BP58" s="82">
        <v>0</v>
      </c>
      <c r="BQ58" s="159">
        <v>20</v>
      </c>
      <c r="BR58" s="105"/>
      <c r="BS58" s="105"/>
      <c r="BT58" s="137"/>
      <c r="BU58" s="107"/>
      <c r="BV58" s="143"/>
      <c r="BW58" s="170"/>
      <c r="BX58" s="143"/>
      <c r="BY58" s="181">
        <v>20</v>
      </c>
      <c r="BZ58" s="203">
        <v>20</v>
      </c>
      <c r="CA58" s="143"/>
      <c r="CB58" s="143"/>
      <c r="CC58" s="203"/>
      <c r="CD58" s="203"/>
      <c r="CE58" s="143"/>
      <c r="CF58" s="203"/>
      <c r="CG58" s="143"/>
      <c r="CH58" s="143"/>
      <c r="CI58" s="143"/>
      <c r="CJ58" s="203"/>
      <c r="CK58" s="203"/>
      <c r="CL58" s="203"/>
      <c r="CM58" s="203"/>
      <c r="CN58" s="143"/>
      <c r="CO58" s="143"/>
      <c r="CP58" s="203"/>
      <c r="CQ58" s="143"/>
      <c r="CR58" s="203"/>
      <c r="CS58" s="143"/>
      <c r="CT58" s="300"/>
    </row>
    <row r="59" spans="1:98" x14ac:dyDescent="0.25">
      <c r="A59" s="127" t="s">
        <v>395</v>
      </c>
      <c r="B59" s="18" t="s">
        <v>393</v>
      </c>
      <c r="C59" s="203">
        <v>12170000010221</v>
      </c>
      <c r="D59" s="65" t="s">
        <v>28</v>
      </c>
      <c r="E59" s="65" t="s">
        <v>29</v>
      </c>
      <c r="F59" s="2" t="s">
        <v>47</v>
      </c>
      <c r="G59" s="71" t="s">
        <v>31</v>
      </c>
      <c r="H59" s="2" t="s">
        <v>391</v>
      </c>
      <c r="I59" s="46" t="s">
        <v>433</v>
      </c>
      <c r="J59" s="46">
        <v>1</v>
      </c>
      <c r="K59" s="88" t="s">
        <v>276</v>
      </c>
      <c r="L59" s="46"/>
      <c r="M59" s="19"/>
      <c r="N59" s="46"/>
      <c r="O59" s="46"/>
      <c r="P59" s="46">
        <v>1</v>
      </c>
      <c r="Q59" s="19"/>
      <c r="R59" s="19">
        <v>1</v>
      </c>
      <c r="S59" s="19"/>
      <c r="T59" s="20"/>
      <c r="U59" s="19"/>
      <c r="V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M59" s="46"/>
      <c r="AQ59" s="19"/>
      <c r="AR59" s="19"/>
      <c r="AS59" s="19"/>
      <c r="AT59" s="19"/>
      <c r="AU59" s="19"/>
      <c r="AV59" s="19"/>
      <c r="AW59" s="19"/>
      <c r="AY59" s="19"/>
      <c r="AZ59" s="20"/>
      <c r="BA59" s="19"/>
      <c r="BB59" s="19"/>
      <c r="BC59" s="19"/>
      <c r="BD59" s="19"/>
      <c r="BE59" s="19"/>
      <c r="BF59" s="19"/>
      <c r="BG59" s="19"/>
      <c r="BH59" s="20"/>
      <c r="BI59" s="19"/>
      <c r="BJ59" s="19"/>
      <c r="BK59" s="20"/>
      <c r="BL59" s="251">
        <v>7.0000000000000007E-2</v>
      </c>
      <c r="BM59" s="244">
        <f t="shared" si="9"/>
        <v>4.0999999999999996</v>
      </c>
      <c r="BN59" s="244">
        <f t="shared" si="10"/>
        <v>10.1</v>
      </c>
      <c r="BO59" s="244">
        <f t="shared" si="11"/>
        <v>18</v>
      </c>
      <c r="BP59" s="82">
        <v>0</v>
      </c>
      <c r="BQ59" s="159">
        <v>5</v>
      </c>
      <c r="BR59" s="105"/>
      <c r="BS59" s="105"/>
      <c r="BT59" s="137"/>
      <c r="BU59" s="119">
        <v>5</v>
      </c>
      <c r="BV59" s="143"/>
      <c r="BW59" s="170"/>
      <c r="BX59" s="143"/>
      <c r="BY59" s="143"/>
      <c r="BZ59" s="203"/>
      <c r="CA59" s="143"/>
      <c r="CB59" s="143"/>
      <c r="CC59" s="203"/>
      <c r="CD59" s="203"/>
      <c r="CE59" s="143"/>
      <c r="CF59" s="203"/>
      <c r="CG59" s="143"/>
      <c r="CH59" s="143"/>
      <c r="CI59" s="143"/>
      <c r="CJ59" s="203"/>
      <c r="CK59" s="203"/>
      <c r="CL59" s="203"/>
      <c r="CM59" s="203"/>
      <c r="CN59" s="143"/>
      <c r="CO59" s="143"/>
      <c r="CP59" s="203"/>
      <c r="CQ59" s="143"/>
      <c r="CR59" s="203"/>
      <c r="CS59" s="143"/>
      <c r="CT59" s="300"/>
    </row>
    <row r="60" spans="1:98" x14ac:dyDescent="0.25">
      <c r="A60" s="127" t="s">
        <v>395</v>
      </c>
      <c r="B60" s="18" t="s">
        <v>393</v>
      </c>
      <c r="C60" s="203">
        <v>12170000006986</v>
      </c>
      <c r="D60" s="65" t="s">
        <v>28</v>
      </c>
      <c r="E60" s="65" t="s">
        <v>29</v>
      </c>
      <c r="F60" s="2" t="s">
        <v>47</v>
      </c>
      <c r="G60" s="71" t="s">
        <v>364</v>
      </c>
      <c r="H60" s="299" t="s">
        <v>760</v>
      </c>
      <c r="I60" s="46"/>
      <c r="J60" s="46"/>
      <c r="K60" s="88" t="s">
        <v>276</v>
      </c>
      <c r="L60" s="46"/>
      <c r="M60" s="19"/>
      <c r="N60" s="46"/>
      <c r="O60" s="46"/>
      <c r="P60" s="46"/>
      <c r="Q60" s="19"/>
      <c r="R60" s="19"/>
      <c r="S60" s="19"/>
      <c r="T60" s="20"/>
      <c r="U60" s="19"/>
      <c r="V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>
        <v>1</v>
      </c>
      <c r="AM60" s="46"/>
      <c r="AQ60" s="19"/>
      <c r="AR60" s="19"/>
      <c r="AS60" s="19"/>
      <c r="AT60" s="19"/>
      <c r="AU60" s="19"/>
      <c r="AV60" s="19"/>
      <c r="AW60" s="19"/>
      <c r="AY60" s="19"/>
      <c r="AZ60" s="20"/>
      <c r="BA60" s="19"/>
      <c r="BB60" s="19"/>
      <c r="BC60" s="19"/>
      <c r="BD60" s="19"/>
      <c r="BE60" s="19"/>
      <c r="BF60" s="19"/>
      <c r="BG60" s="19"/>
      <c r="BH60" s="20"/>
      <c r="BI60" s="19"/>
      <c r="BJ60" s="19"/>
      <c r="BK60" s="20"/>
      <c r="BL60" s="251">
        <v>0.06</v>
      </c>
      <c r="BM60" s="244">
        <f t="shared" ref="BM60:BM61" si="45">ROUND((BL60*1.5+4)*10,0)/10</f>
        <v>4.0999999999999996</v>
      </c>
      <c r="BN60" s="244">
        <f t="shared" ref="BN60:BN61" si="46">ROUND((BL60*1.5+10)*10,0)/10</f>
        <v>10.1</v>
      </c>
      <c r="BO60" s="244">
        <f t="shared" ref="BO60:BO61" si="47">ROUND(BN60/0.7*1.22,0)</f>
        <v>18</v>
      </c>
      <c r="BP60" s="82"/>
      <c r="BQ60" s="159"/>
      <c r="BR60" s="105"/>
      <c r="BS60" s="105"/>
      <c r="BT60" s="137"/>
      <c r="BU60" s="107"/>
      <c r="BV60" s="143"/>
      <c r="BW60" s="170"/>
      <c r="BX60" s="143"/>
      <c r="BY60" s="143"/>
      <c r="BZ60" s="203"/>
      <c r="CA60" s="143"/>
      <c r="CB60" s="143"/>
      <c r="CC60" s="203"/>
      <c r="CD60" s="203"/>
      <c r="CE60" s="143"/>
      <c r="CF60" s="203"/>
      <c r="CG60" s="143"/>
      <c r="CH60" s="143"/>
      <c r="CI60" s="143"/>
      <c r="CJ60" s="203"/>
      <c r="CK60" s="203"/>
      <c r="CL60" s="203"/>
      <c r="CM60" s="203"/>
      <c r="CN60" s="143"/>
      <c r="CO60" s="181">
        <v>10</v>
      </c>
      <c r="CP60" s="203">
        <v>10</v>
      </c>
      <c r="CQ60" s="143"/>
      <c r="CR60" s="203"/>
      <c r="CS60" s="143"/>
      <c r="CT60" s="300"/>
    </row>
    <row r="61" spans="1:98" x14ac:dyDescent="0.25">
      <c r="A61" s="127" t="s">
        <v>762</v>
      </c>
      <c r="B61" s="18" t="s">
        <v>763</v>
      </c>
      <c r="C61" s="203">
        <v>12970000000400</v>
      </c>
      <c r="D61" s="65" t="s">
        <v>28</v>
      </c>
      <c r="E61" s="65" t="s">
        <v>29</v>
      </c>
      <c r="F61" s="2" t="s">
        <v>47</v>
      </c>
      <c r="G61" s="71" t="s">
        <v>381</v>
      </c>
      <c r="H61" s="299" t="s">
        <v>764</v>
      </c>
      <c r="I61" s="46"/>
      <c r="J61" s="46"/>
      <c r="L61" s="46"/>
      <c r="M61" s="19"/>
      <c r="N61" s="46"/>
      <c r="O61" s="46"/>
      <c r="P61" s="46"/>
      <c r="Q61" s="19"/>
      <c r="R61" s="19"/>
      <c r="S61" s="19"/>
      <c r="T61" s="20"/>
      <c r="U61" s="19"/>
      <c r="V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>
        <v>2</v>
      </c>
      <c r="AM61" s="46"/>
      <c r="AQ61" s="19"/>
      <c r="AR61" s="19"/>
      <c r="AS61" s="19"/>
      <c r="AT61" s="19"/>
      <c r="AU61" s="19"/>
      <c r="AV61" s="19"/>
      <c r="AW61" s="19"/>
      <c r="AY61" s="19"/>
      <c r="AZ61" s="20"/>
      <c r="BA61" s="19"/>
      <c r="BB61" s="19"/>
      <c r="BC61" s="19"/>
      <c r="BD61" s="19"/>
      <c r="BE61" s="19"/>
      <c r="BF61" s="19"/>
      <c r="BG61" s="19"/>
      <c r="BH61" s="20"/>
      <c r="BI61" s="19"/>
      <c r="BJ61" s="19"/>
      <c r="BK61" s="20"/>
      <c r="BL61" s="251">
        <v>0.02</v>
      </c>
      <c r="BM61" s="244">
        <f t="shared" si="45"/>
        <v>4</v>
      </c>
      <c r="BN61" s="244">
        <f t="shared" si="46"/>
        <v>10</v>
      </c>
      <c r="BO61" s="244">
        <f t="shared" si="47"/>
        <v>17</v>
      </c>
      <c r="BP61" s="82"/>
      <c r="BQ61" s="159"/>
      <c r="BR61" s="105"/>
      <c r="BS61" s="105"/>
      <c r="BT61" s="137"/>
      <c r="BU61" s="107"/>
      <c r="BV61" s="143"/>
      <c r="BW61" s="170"/>
      <c r="BX61" s="143"/>
      <c r="BY61" s="143"/>
      <c r="BZ61" s="203"/>
      <c r="CA61" s="143"/>
      <c r="CB61" s="143"/>
      <c r="CC61" s="203"/>
      <c r="CD61" s="203"/>
      <c r="CE61" s="143"/>
      <c r="CF61" s="203"/>
      <c r="CG61" s="143"/>
      <c r="CH61" s="143"/>
      <c r="CI61" s="143"/>
      <c r="CJ61" s="203"/>
      <c r="CK61" s="203"/>
      <c r="CL61" s="203"/>
      <c r="CM61" s="203"/>
      <c r="CN61" s="143"/>
      <c r="CO61" s="181">
        <v>10</v>
      </c>
      <c r="CP61" s="203">
        <v>10</v>
      </c>
      <c r="CQ61" s="143"/>
      <c r="CR61" s="203"/>
      <c r="CS61" s="143"/>
      <c r="CT61" s="300"/>
    </row>
    <row r="62" spans="1:98" x14ac:dyDescent="0.25">
      <c r="A62" s="127" t="s">
        <v>721</v>
      </c>
      <c r="B62" s="18" t="s">
        <v>720</v>
      </c>
      <c r="C62" s="203">
        <v>12170000042952</v>
      </c>
      <c r="D62" s="65" t="s">
        <v>28</v>
      </c>
      <c r="E62" s="65" t="s">
        <v>29</v>
      </c>
      <c r="F62" s="2" t="s">
        <v>47</v>
      </c>
      <c r="G62" s="71" t="s">
        <v>319</v>
      </c>
      <c r="H62" s="262" t="s">
        <v>719</v>
      </c>
      <c r="I62" s="46"/>
      <c r="J62" s="46"/>
      <c r="K62" s="88" t="s">
        <v>276</v>
      </c>
      <c r="L62" s="46"/>
      <c r="M62" s="19"/>
      <c r="N62" s="46"/>
      <c r="O62" s="46"/>
      <c r="P62" s="46"/>
      <c r="Q62" s="19"/>
      <c r="R62" s="19"/>
      <c r="S62" s="19"/>
      <c r="T62" s="20"/>
      <c r="U62" s="19"/>
      <c r="V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M62" s="46"/>
      <c r="AQ62" s="19"/>
      <c r="AR62" s="19"/>
      <c r="AS62" s="19"/>
      <c r="AT62" s="19"/>
      <c r="AU62" s="19"/>
      <c r="AV62" s="19">
        <v>1</v>
      </c>
      <c r="AW62" s="19"/>
      <c r="AY62" s="19"/>
      <c r="AZ62" s="20"/>
      <c r="BA62" s="19"/>
      <c r="BB62" s="19"/>
      <c r="BC62" s="19"/>
      <c r="BD62" s="19"/>
      <c r="BE62" s="19"/>
      <c r="BF62" s="19"/>
      <c r="BG62" s="19"/>
      <c r="BH62" s="20"/>
      <c r="BI62" s="19"/>
      <c r="BJ62" s="19"/>
      <c r="BK62" s="20"/>
      <c r="BL62" s="252">
        <v>0.56999999999999995</v>
      </c>
      <c r="BM62" s="244">
        <f t="shared" ref="BM62" si="48">ROUND((BL62*1.5+4)*10,0)/10</f>
        <v>4.9000000000000004</v>
      </c>
      <c r="BN62" s="244">
        <f t="shared" ref="BN62" si="49">ROUND((BL62*1.5+10)*10,0)/10</f>
        <v>10.9</v>
      </c>
      <c r="BO62" s="244">
        <f t="shared" ref="BO62" si="50">ROUND(BN62/0.7*1.22,0)</f>
        <v>19</v>
      </c>
      <c r="BP62" s="82"/>
      <c r="BQ62" s="159"/>
      <c r="BR62" s="105"/>
      <c r="BS62" s="105"/>
      <c r="BT62" s="137"/>
      <c r="BU62" s="107"/>
      <c r="BV62" s="143"/>
      <c r="BW62" s="170"/>
      <c r="BX62" s="143"/>
      <c r="BY62" s="143"/>
      <c r="BZ62" s="203"/>
      <c r="CA62" s="143"/>
      <c r="CB62" s="143"/>
      <c r="CC62" s="203"/>
      <c r="CD62" s="203"/>
      <c r="CE62" s="143"/>
      <c r="CF62" s="203"/>
      <c r="CG62" s="143"/>
      <c r="CH62" s="181">
        <v>5</v>
      </c>
      <c r="CI62" s="143"/>
      <c r="CJ62" s="203"/>
      <c r="CK62" s="203">
        <v>5</v>
      </c>
      <c r="CL62" s="203"/>
      <c r="CM62" s="203"/>
      <c r="CN62" s="143"/>
      <c r="CO62" s="143"/>
      <c r="CP62" s="203"/>
      <c r="CQ62" s="143"/>
      <c r="CR62" s="203"/>
      <c r="CS62" s="143"/>
      <c r="CT62" s="300"/>
    </row>
    <row r="63" spans="1:98" x14ac:dyDescent="0.25">
      <c r="A63" s="127" t="s">
        <v>510</v>
      </c>
      <c r="B63" s="18" t="s">
        <v>536</v>
      </c>
      <c r="C63" s="203">
        <v>12170000039738</v>
      </c>
      <c r="D63" s="65" t="s">
        <v>28</v>
      </c>
      <c r="E63" s="65" t="s">
        <v>29</v>
      </c>
      <c r="F63" s="2" t="s">
        <v>47</v>
      </c>
      <c r="G63" s="71" t="s">
        <v>38</v>
      </c>
      <c r="H63" s="2" t="s">
        <v>511</v>
      </c>
      <c r="I63" s="46"/>
      <c r="J63" s="46">
        <v>1</v>
      </c>
      <c r="K63" s="88" t="s">
        <v>611</v>
      </c>
      <c r="L63" s="46"/>
      <c r="M63" s="19"/>
      <c r="N63" s="46"/>
      <c r="O63" s="46"/>
      <c r="P63" s="46"/>
      <c r="Q63" s="19"/>
      <c r="R63" s="19"/>
      <c r="S63" s="19"/>
      <c r="T63" s="20"/>
      <c r="U63" s="19"/>
      <c r="V63" s="19"/>
      <c r="X63" s="19"/>
      <c r="Y63" s="19"/>
      <c r="Z63" s="19"/>
      <c r="AA63" s="19"/>
      <c r="AB63" s="19">
        <v>2</v>
      </c>
      <c r="AC63" s="19"/>
      <c r="AD63" s="19"/>
      <c r="AE63" s="19"/>
      <c r="AF63" s="19"/>
      <c r="AG63" s="19"/>
      <c r="AH63" s="19"/>
      <c r="AI63" s="19"/>
      <c r="AJ63" s="19"/>
      <c r="AM63" s="46"/>
      <c r="AQ63" s="19"/>
      <c r="AR63" s="19"/>
      <c r="AS63" s="19"/>
      <c r="AT63" s="19"/>
      <c r="AU63" s="19"/>
      <c r="AV63" s="19"/>
      <c r="AW63" s="19"/>
      <c r="AY63" s="19"/>
      <c r="AZ63" s="20"/>
      <c r="BA63" s="19"/>
      <c r="BB63" s="19"/>
      <c r="BC63" s="19"/>
      <c r="BD63" s="19"/>
      <c r="BE63" s="19"/>
      <c r="BF63" s="19"/>
      <c r="BG63" s="19"/>
      <c r="BH63" s="20"/>
      <c r="BI63" s="19"/>
      <c r="BJ63" s="19"/>
      <c r="BK63" s="20"/>
      <c r="BL63" s="252">
        <v>0.19</v>
      </c>
      <c r="BM63" s="244">
        <f t="shared" si="9"/>
        <v>4.3</v>
      </c>
      <c r="BN63" s="244">
        <f t="shared" si="10"/>
        <v>10.3</v>
      </c>
      <c r="BO63" s="244">
        <f t="shared" si="11"/>
        <v>18</v>
      </c>
      <c r="BP63" s="82">
        <v>1</v>
      </c>
      <c r="BQ63" s="159">
        <v>11</v>
      </c>
      <c r="BR63" s="105"/>
      <c r="BS63" s="105"/>
      <c r="BT63" s="137"/>
      <c r="BU63" s="107"/>
      <c r="BV63" s="143"/>
      <c r="BW63" s="170"/>
      <c r="BX63" s="143"/>
      <c r="BY63" s="181">
        <v>12</v>
      </c>
      <c r="BZ63" s="203">
        <v>12</v>
      </c>
      <c r="CA63" s="143"/>
      <c r="CB63" s="143"/>
      <c r="CC63" s="203"/>
      <c r="CD63" s="203"/>
      <c r="CE63" s="143"/>
      <c r="CF63" s="203"/>
      <c r="CG63" s="143"/>
      <c r="CH63" s="143"/>
      <c r="CI63" s="143"/>
      <c r="CJ63" s="203"/>
      <c r="CK63" s="203"/>
      <c r="CL63" s="203"/>
      <c r="CM63" s="203"/>
      <c r="CN63" s="143"/>
      <c r="CO63" s="143"/>
      <c r="CP63" s="203"/>
      <c r="CQ63" s="143"/>
      <c r="CR63" s="203"/>
      <c r="CS63" s="143"/>
      <c r="CT63" s="300"/>
    </row>
    <row r="64" spans="1:98" x14ac:dyDescent="0.25">
      <c r="A64" s="127" t="s">
        <v>510</v>
      </c>
      <c r="B64" s="18" t="s">
        <v>537</v>
      </c>
      <c r="C64" s="203">
        <v>12170000040126</v>
      </c>
      <c r="D64" s="65" t="s">
        <v>28</v>
      </c>
      <c r="E64" s="65" t="s">
        <v>29</v>
      </c>
      <c r="F64" s="2" t="s">
        <v>47</v>
      </c>
      <c r="G64" s="71" t="s">
        <v>39</v>
      </c>
      <c r="H64" s="2" t="s">
        <v>538</v>
      </c>
      <c r="I64" s="46"/>
      <c r="J64" s="46">
        <v>1</v>
      </c>
      <c r="K64" s="88" t="s">
        <v>611</v>
      </c>
      <c r="L64" s="46"/>
      <c r="M64" s="19"/>
      <c r="N64" s="46"/>
      <c r="O64" s="46"/>
      <c r="P64" s="46"/>
      <c r="Q64" s="19"/>
      <c r="R64" s="19"/>
      <c r="S64" s="19"/>
      <c r="T64" s="20"/>
      <c r="U64" s="19"/>
      <c r="V64" s="19"/>
      <c r="X64" s="19"/>
      <c r="Y64" s="19"/>
      <c r="Z64" s="19"/>
      <c r="AA64" s="19"/>
      <c r="AB64" s="19"/>
      <c r="AC64" s="19">
        <v>2</v>
      </c>
      <c r="AD64" s="19"/>
      <c r="AE64" s="19"/>
      <c r="AF64" s="19"/>
      <c r="AG64" s="19"/>
      <c r="AH64" s="19"/>
      <c r="AI64" s="19"/>
      <c r="AJ64" s="19"/>
      <c r="AM64" s="46"/>
      <c r="AQ64" s="19"/>
      <c r="AR64" s="19"/>
      <c r="AS64" s="19"/>
      <c r="AT64" s="19"/>
      <c r="AU64" s="19"/>
      <c r="AV64" s="19"/>
      <c r="AW64" s="19"/>
      <c r="AY64" s="19"/>
      <c r="AZ64" s="20"/>
      <c r="BA64" s="19"/>
      <c r="BB64" s="19"/>
      <c r="BC64" s="19"/>
      <c r="BD64" s="19"/>
      <c r="BE64" s="19"/>
      <c r="BF64" s="19"/>
      <c r="BG64" s="19"/>
      <c r="BH64" s="20"/>
      <c r="BI64" s="19"/>
      <c r="BJ64" s="19"/>
      <c r="BK64" s="20"/>
      <c r="BL64" s="252">
        <v>0.18</v>
      </c>
      <c r="BM64" s="244">
        <f t="shared" si="9"/>
        <v>4.3</v>
      </c>
      <c r="BN64" s="244">
        <f t="shared" si="10"/>
        <v>10.3</v>
      </c>
      <c r="BO64" s="244">
        <f t="shared" si="11"/>
        <v>18</v>
      </c>
      <c r="BP64" s="82">
        <v>0</v>
      </c>
      <c r="BQ64" s="159">
        <v>5</v>
      </c>
      <c r="BR64" s="105"/>
      <c r="BS64" s="105"/>
      <c r="BT64" s="137"/>
      <c r="BU64" s="107"/>
      <c r="BV64" s="143"/>
      <c r="BW64" s="170"/>
      <c r="BX64" s="143"/>
      <c r="BY64" s="218">
        <v>6</v>
      </c>
      <c r="BZ64" s="203"/>
      <c r="CA64" s="181">
        <v>5</v>
      </c>
      <c r="CB64" s="143"/>
      <c r="CC64" s="203"/>
      <c r="CD64" s="203">
        <v>5</v>
      </c>
      <c r="CE64" s="143"/>
      <c r="CF64" s="203"/>
      <c r="CG64" s="143"/>
      <c r="CH64" s="143"/>
      <c r="CI64" s="143"/>
      <c r="CJ64" s="203"/>
      <c r="CK64" s="203"/>
      <c r="CL64" s="203"/>
      <c r="CM64" s="203"/>
      <c r="CN64" s="143"/>
      <c r="CO64" s="143"/>
      <c r="CP64" s="203"/>
      <c r="CQ64" s="143"/>
      <c r="CR64" s="203"/>
      <c r="CS64" s="143"/>
      <c r="CT64" s="300"/>
    </row>
    <row r="65" spans="1:98" x14ac:dyDescent="0.25">
      <c r="A65" s="127" t="s">
        <v>510</v>
      </c>
      <c r="B65" s="18" t="s">
        <v>568</v>
      </c>
      <c r="C65" s="203">
        <v>12170000018084</v>
      </c>
      <c r="D65" s="65" t="s">
        <v>28</v>
      </c>
      <c r="E65" s="65" t="s">
        <v>29</v>
      </c>
      <c r="F65" s="2" t="s">
        <v>47</v>
      </c>
      <c r="G65" s="168" t="s">
        <v>42</v>
      </c>
      <c r="H65" s="2" t="s">
        <v>569</v>
      </c>
      <c r="I65" s="46"/>
      <c r="J65" s="46"/>
      <c r="K65" s="88" t="s">
        <v>611</v>
      </c>
      <c r="L65" s="46"/>
      <c r="M65" s="19"/>
      <c r="N65" s="46"/>
      <c r="O65" s="46"/>
      <c r="P65" s="46"/>
      <c r="Q65" s="19"/>
      <c r="R65" s="19"/>
      <c r="S65" s="19"/>
      <c r="T65" s="20"/>
      <c r="U65" s="19"/>
      <c r="V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M65" s="46"/>
      <c r="AQ65" s="19"/>
      <c r="AR65" s="19"/>
      <c r="AS65" s="19"/>
      <c r="AT65" s="19"/>
      <c r="AU65" s="19"/>
      <c r="AV65" s="19"/>
      <c r="AW65" s="19"/>
      <c r="AY65" s="19"/>
      <c r="AZ65" s="20"/>
      <c r="BA65" s="19"/>
      <c r="BB65" s="19"/>
      <c r="BC65" s="19"/>
      <c r="BD65" s="19">
        <v>2</v>
      </c>
      <c r="BE65" s="19"/>
      <c r="BF65" s="19"/>
      <c r="BG65" s="19">
        <v>2</v>
      </c>
      <c r="BH65" s="20"/>
      <c r="BI65" s="19"/>
      <c r="BJ65" s="19"/>
      <c r="BK65" s="20"/>
      <c r="BL65" s="252">
        <v>0.23</v>
      </c>
      <c r="BM65" s="244">
        <f t="shared" si="9"/>
        <v>4.3</v>
      </c>
      <c r="BN65" s="244">
        <f t="shared" si="10"/>
        <v>10.3</v>
      </c>
      <c r="BO65" s="244">
        <f t="shared" si="11"/>
        <v>18</v>
      </c>
      <c r="BP65" s="82">
        <v>0</v>
      </c>
      <c r="BQ65" s="159">
        <v>6</v>
      </c>
      <c r="BR65" s="105"/>
      <c r="BS65" s="105"/>
      <c r="BT65" s="137"/>
      <c r="BU65" s="107"/>
      <c r="BV65" s="143"/>
      <c r="BW65" s="170"/>
      <c r="BX65" s="143"/>
      <c r="BY65" s="143"/>
      <c r="BZ65" s="203"/>
      <c r="CA65" s="143"/>
      <c r="CB65" s="181">
        <v>6</v>
      </c>
      <c r="CC65" s="203"/>
      <c r="CD65" s="203">
        <v>6</v>
      </c>
      <c r="CE65" s="143"/>
      <c r="CF65" s="203"/>
      <c r="CG65" s="143"/>
      <c r="CH65" s="143"/>
      <c r="CI65" s="143"/>
      <c r="CJ65" s="203"/>
      <c r="CK65" s="203"/>
      <c r="CL65" s="203"/>
      <c r="CM65" s="203"/>
      <c r="CN65" s="143"/>
      <c r="CO65" s="143"/>
      <c r="CP65" s="203"/>
      <c r="CQ65" s="143"/>
      <c r="CR65" s="203"/>
      <c r="CS65" s="143"/>
      <c r="CT65" s="300"/>
    </row>
    <row r="66" spans="1:98" x14ac:dyDescent="0.25">
      <c r="A66" s="127" t="s">
        <v>510</v>
      </c>
      <c r="B66" s="18" t="s">
        <v>589</v>
      </c>
      <c r="C66" s="203" t="s">
        <v>590</v>
      </c>
      <c r="D66" s="65" t="s">
        <v>28</v>
      </c>
      <c r="E66" s="65" t="s">
        <v>29</v>
      </c>
      <c r="F66" s="2" t="s">
        <v>47</v>
      </c>
      <c r="G66" s="168" t="s">
        <v>43</v>
      </c>
      <c r="H66" s="2" t="s">
        <v>588</v>
      </c>
      <c r="I66" s="46"/>
      <c r="J66" s="46"/>
      <c r="K66" s="88" t="s">
        <v>611</v>
      </c>
      <c r="L66" s="46"/>
      <c r="M66" s="19"/>
      <c r="N66" s="46"/>
      <c r="O66" s="46"/>
      <c r="P66" s="46"/>
      <c r="Q66" s="19"/>
      <c r="R66" s="19"/>
      <c r="S66" s="19"/>
      <c r="T66" s="20"/>
      <c r="U66" s="19">
        <v>2</v>
      </c>
      <c r="V66" s="19"/>
      <c r="W66" s="19">
        <v>2</v>
      </c>
      <c r="X66" s="19"/>
      <c r="Y66" s="19"/>
      <c r="Z66" s="19"/>
      <c r="AA66" s="19"/>
      <c r="AB66" s="19"/>
      <c r="AC66" s="19"/>
      <c r="AD66" s="19"/>
      <c r="AE66" s="19">
        <v>2</v>
      </c>
      <c r="AF66" s="19"/>
      <c r="AG66" s="19"/>
      <c r="AH66" s="19">
        <v>2</v>
      </c>
      <c r="AI66" s="19"/>
      <c r="AJ66" s="19"/>
      <c r="AK66" s="46">
        <v>2</v>
      </c>
      <c r="AM66" s="46">
        <v>2</v>
      </c>
      <c r="AO66" s="46">
        <v>2</v>
      </c>
      <c r="AQ66" s="19">
        <v>2</v>
      </c>
      <c r="AR66" s="19"/>
      <c r="AS66" s="19"/>
      <c r="AT66" s="19"/>
      <c r="AU66" s="19"/>
      <c r="AV66" s="19"/>
      <c r="AW66" s="19"/>
      <c r="AY66" s="19"/>
      <c r="AZ66" s="20"/>
      <c r="BA66" s="19"/>
      <c r="BB66" s="19"/>
      <c r="BC66" s="19"/>
      <c r="BD66" s="19"/>
      <c r="BE66" s="19"/>
      <c r="BF66" s="19"/>
      <c r="BG66" s="19"/>
      <c r="BH66" s="20"/>
      <c r="BI66" s="19"/>
      <c r="BJ66" s="19"/>
      <c r="BK66" s="20"/>
      <c r="BL66" s="252">
        <v>0.16</v>
      </c>
      <c r="BM66" s="244">
        <f t="shared" si="9"/>
        <v>4.2</v>
      </c>
      <c r="BN66" s="244">
        <f t="shared" si="10"/>
        <v>10.199999999999999</v>
      </c>
      <c r="BO66" s="244">
        <f t="shared" si="11"/>
        <v>18</v>
      </c>
      <c r="BP66" s="82">
        <v>0</v>
      </c>
      <c r="BQ66" s="159">
        <v>6</v>
      </c>
      <c r="BR66" s="105"/>
      <c r="BS66" s="105"/>
      <c r="BT66" s="137"/>
      <c r="BU66" s="107"/>
      <c r="BV66" s="143"/>
      <c r="BW66" s="170"/>
      <c r="BX66" s="143"/>
      <c r="BY66" s="143"/>
      <c r="BZ66" s="203"/>
      <c r="CA66" s="143"/>
      <c r="CB66" s="181">
        <v>6</v>
      </c>
      <c r="CC66" s="203"/>
      <c r="CD66" s="203">
        <v>6</v>
      </c>
      <c r="CE66" s="143"/>
      <c r="CF66" s="203"/>
      <c r="CG66" s="143"/>
      <c r="CH66" s="143"/>
      <c r="CI66" s="143"/>
      <c r="CJ66" s="203"/>
      <c r="CK66" s="203"/>
      <c r="CL66" s="203"/>
      <c r="CM66" s="203"/>
      <c r="CN66" s="143"/>
      <c r="CO66" s="143"/>
      <c r="CP66" s="203"/>
      <c r="CQ66" s="143"/>
      <c r="CR66" s="203"/>
      <c r="CS66" s="143"/>
      <c r="CT66" s="300"/>
    </row>
    <row r="67" spans="1:98" x14ac:dyDescent="0.25">
      <c r="A67" s="127" t="s">
        <v>510</v>
      </c>
      <c r="B67" s="18" t="s">
        <v>589</v>
      </c>
      <c r="C67" s="203" t="s">
        <v>600</v>
      </c>
      <c r="D67" s="65" t="s">
        <v>28</v>
      </c>
      <c r="E67" s="65" t="s">
        <v>29</v>
      </c>
      <c r="F67" s="2" t="s">
        <v>47</v>
      </c>
      <c r="G67" s="168" t="s">
        <v>44</v>
      </c>
      <c r="H67" s="2" t="s">
        <v>599</v>
      </c>
      <c r="I67" s="46"/>
      <c r="J67" s="46"/>
      <c r="K67" s="88" t="s">
        <v>611</v>
      </c>
      <c r="L67" s="46"/>
      <c r="M67" s="19"/>
      <c r="N67" s="46"/>
      <c r="O67" s="46"/>
      <c r="P67" s="46"/>
      <c r="Q67" s="19"/>
      <c r="R67" s="19"/>
      <c r="S67" s="19"/>
      <c r="T67" s="20"/>
      <c r="U67" s="19"/>
      <c r="V67" s="19">
        <v>2</v>
      </c>
      <c r="X67" s="19"/>
      <c r="Y67" s="19"/>
      <c r="Z67" s="19"/>
      <c r="AA67" s="19"/>
      <c r="AB67" s="19"/>
      <c r="AC67" s="19"/>
      <c r="AD67" s="19"/>
      <c r="AE67" s="19"/>
      <c r="AF67" s="19">
        <v>2</v>
      </c>
      <c r="AG67" s="19">
        <v>2</v>
      </c>
      <c r="AH67" s="19"/>
      <c r="AI67" s="19">
        <v>2</v>
      </c>
      <c r="AJ67" s="19">
        <v>2</v>
      </c>
      <c r="AL67" s="46">
        <v>2</v>
      </c>
      <c r="AM67" s="46"/>
      <c r="AN67" s="46">
        <v>2</v>
      </c>
      <c r="AP67" s="46">
        <v>2</v>
      </c>
      <c r="AQ67" s="19"/>
      <c r="AR67" s="19">
        <v>2</v>
      </c>
      <c r="AS67" s="19"/>
      <c r="AT67" s="19"/>
      <c r="AU67" s="19"/>
      <c r="AV67" s="19"/>
      <c r="AW67" s="19"/>
      <c r="AY67" s="19"/>
      <c r="AZ67" s="20"/>
      <c r="BA67" s="19"/>
      <c r="BB67" s="19"/>
      <c r="BC67" s="19"/>
      <c r="BD67" s="19"/>
      <c r="BE67" s="19"/>
      <c r="BF67" s="19"/>
      <c r="BG67" s="19"/>
      <c r="BH67" s="20"/>
      <c r="BI67" s="19"/>
      <c r="BJ67" s="19"/>
      <c r="BK67" s="20"/>
      <c r="BL67" s="252">
        <v>0.17</v>
      </c>
      <c r="BM67" s="244">
        <f t="shared" si="9"/>
        <v>4.3</v>
      </c>
      <c r="BN67" s="244">
        <f t="shared" si="10"/>
        <v>10.3</v>
      </c>
      <c r="BO67" s="244">
        <f t="shared" si="11"/>
        <v>18</v>
      </c>
      <c r="BP67" s="82">
        <v>0</v>
      </c>
      <c r="BQ67" s="159">
        <v>6</v>
      </c>
      <c r="BR67" s="105"/>
      <c r="BS67" s="105"/>
      <c r="BT67" s="137"/>
      <c r="BU67" s="107"/>
      <c r="BV67" s="143"/>
      <c r="BW67" s="170"/>
      <c r="BX67" s="143"/>
      <c r="BY67" s="143"/>
      <c r="BZ67" s="203"/>
      <c r="CA67" s="143"/>
      <c r="CB67" s="181">
        <v>6</v>
      </c>
      <c r="CC67" s="203"/>
      <c r="CD67" s="203">
        <v>6</v>
      </c>
      <c r="CE67" s="143"/>
      <c r="CF67" s="203"/>
      <c r="CG67" s="143"/>
      <c r="CH67" s="143"/>
      <c r="CI67" s="143"/>
      <c r="CJ67" s="203"/>
      <c r="CK67" s="203"/>
      <c r="CL67" s="203"/>
      <c r="CM67" s="203"/>
      <c r="CN67" s="143"/>
      <c r="CO67" s="143"/>
      <c r="CP67" s="203"/>
      <c r="CQ67" s="143"/>
      <c r="CR67" s="203"/>
      <c r="CS67" s="143"/>
      <c r="CT67" s="300"/>
    </row>
    <row r="68" spans="1:98" x14ac:dyDescent="0.25">
      <c r="A68" s="127" t="s">
        <v>510</v>
      </c>
      <c r="B68" s="18" t="s">
        <v>589</v>
      </c>
      <c r="C68" s="203" t="s">
        <v>638</v>
      </c>
      <c r="D68" s="65" t="s">
        <v>28</v>
      </c>
      <c r="E68" s="65" t="s">
        <v>29</v>
      </c>
      <c r="F68" s="2" t="s">
        <v>47</v>
      </c>
      <c r="G68" s="168" t="s">
        <v>45</v>
      </c>
      <c r="H68" s="2" t="s">
        <v>635</v>
      </c>
      <c r="I68" s="46"/>
      <c r="J68" s="46"/>
      <c r="K68" s="88" t="s">
        <v>611</v>
      </c>
      <c r="L68" s="46"/>
      <c r="M68" s="19"/>
      <c r="N68" s="46"/>
      <c r="O68" s="46"/>
      <c r="P68" s="46"/>
      <c r="Q68" s="19"/>
      <c r="R68" s="19"/>
      <c r="S68" s="19"/>
      <c r="T68" s="20"/>
      <c r="U68" s="19"/>
      <c r="V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M68" s="46"/>
      <c r="AQ68" s="19"/>
      <c r="AR68" s="19"/>
      <c r="AS68" s="19">
        <v>2</v>
      </c>
      <c r="AT68" s="19"/>
      <c r="AU68" s="19"/>
      <c r="AV68" s="19"/>
      <c r="AW68" s="19"/>
      <c r="AY68" s="19"/>
      <c r="AZ68" s="20"/>
      <c r="BA68" s="19"/>
      <c r="BB68" s="19"/>
      <c r="BC68" s="19"/>
      <c r="BD68" s="19"/>
      <c r="BE68" s="19"/>
      <c r="BF68" s="19"/>
      <c r="BG68" s="19"/>
      <c r="BH68" s="20"/>
      <c r="BI68" s="19"/>
      <c r="BJ68" s="19"/>
      <c r="BK68" s="20"/>
      <c r="BL68" s="252">
        <v>0.88</v>
      </c>
      <c r="BM68" s="244">
        <f t="shared" ref="BM68:BM69" si="51">ROUND((BL68*1.5+4)*10,0)/10</f>
        <v>5.3</v>
      </c>
      <c r="BN68" s="244">
        <f t="shared" ref="BN68:BN69" si="52">ROUND((BL68*1.5+10)*10,0)/10</f>
        <v>11.3</v>
      </c>
      <c r="BO68" s="244">
        <f t="shared" ref="BO68:BO69" si="53">ROUND(BN68/0.7*1.22,0)</f>
        <v>20</v>
      </c>
      <c r="BP68" s="82">
        <v>0</v>
      </c>
      <c r="BQ68" s="159">
        <v>5</v>
      </c>
      <c r="BR68" s="105"/>
      <c r="BS68" s="105"/>
      <c r="BT68" s="137"/>
      <c r="BU68" s="107"/>
      <c r="BV68" s="143"/>
      <c r="BW68" s="170"/>
      <c r="BX68" s="143"/>
      <c r="BY68" s="143"/>
      <c r="BZ68" s="203"/>
      <c r="CA68" s="143"/>
      <c r="CB68" s="143"/>
      <c r="CC68" s="203"/>
      <c r="CD68" s="203"/>
      <c r="CE68" s="143"/>
      <c r="CF68" s="203"/>
      <c r="CG68" s="181">
        <v>5</v>
      </c>
      <c r="CH68" s="143"/>
      <c r="CI68" s="143"/>
      <c r="CJ68" s="203"/>
      <c r="CK68" s="203"/>
      <c r="CL68" s="203"/>
      <c r="CM68" s="203"/>
      <c r="CN68" s="143"/>
      <c r="CO68" s="143"/>
      <c r="CP68" s="203"/>
      <c r="CQ68" s="143"/>
      <c r="CR68" s="203"/>
      <c r="CS68" s="143"/>
      <c r="CT68" s="300"/>
    </row>
    <row r="69" spans="1:98" x14ac:dyDescent="0.25">
      <c r="A69" s="127" t="s">
        <v>510</v>
      </c>
      <c r="B69" s="18" t="s">
        <v>589</v>
      </c>
      <c r="C69" s="203" t="s">
        <v>637</v>
      </c>
      <c r="D69" s="65" t="s">
        <v>28</v>
      </c>
      <c r="E69" s="65" t="s">
        <v>29</v>
      </c>
      <c r="F69" s="2" t="s">
        <v>47</v>
      </c>
      <c r="G69" s="168" t="s">
        <v>89</v>
      </c>
      <c r="H69" s="2" t="s">
        <v>636</v>
      </c>
      <c r="I69" s="46"/>
      <c r="J69" s="46"/>
      <c r="K69" s="88" t="s">
        <v>611</v>
      </c>
      <c r="L69" s="46"/>
      <c r="M69" s="19"/>
      <c r="N69" s="46"/>
      <c r="O69" s="46"/>
      <c r="P69" s="46"/>
      <c r="Q69" s="19"/>
      <c r="R69" s="19"/>
      <c r="S69" s="19"/>
      <c r="T69" s="20"/>
      <c r="U69" s="19"/>
      <c r="V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M69" s="46"/>
      <c r="AQ69" s="19"/>
      <c r="AR69" s="19"/>
      <c r="AS69" s="19"/>
      <c r="AT69" s="19">
        <v>2</v>
      </c>
      <c r="AU69" s="19"/>
      <c r="AV69" s="19"/>
      <c r="AW69" s="19"/>
      <c r="AY69" s="19"/>
      <c r="AZ69" s="20"/>
      <c r="BA69" s="19"/>
      <c r="BB69" s="19"/>
      <c r="BC69" s="19"/>
      <c r="BD69" s="19"/>
      <c r="BE69" s="19"/>
      <c r="BF69" s="19"/>
      <c r="BG69" s="19"/>
      <c r="BH69" s="20"/>
      <c r="BI69" s="19"/>
      <c r="BJ69" s="19"/>
      <c r="BK69" s="20"/>
      <c r="BL69" s="252">
        <v>1.38</v>
      </c>
      <c r="BM69" s="244">
        <f t="shared" si="51"/>
        <v>6.1</v>
      </c>
      <c r="BN69" s="244">
        <f t="shared" si="52"/>
        <v>12.1</v>
      </c>
      <c r="BO69" s="244">
        <f t="shared" si="53"/>
        <v>21</v>
      </c>
      <c r="BP69" s="82">
        <v>0</v>
      </c>
      <c r="BQ69" s="159">
        <v>5</v>
      </c>
      <c r="BR69" s="105"/>
      <c r="BS69" s="105"/>
      <c r="BT69" s="137"/>
      <c r="BU69" s="107"/>
      <c r="BV69" s="143"/>
      <c r="BW69" s="170"/>
      <c r="BX69" s="143"/>
      <c r="BY69" s="143"/>
      <c r="BZ69" s="203"/>
      <c r="CA69" s="143"/>
      <c r="CB69" s="143"/>
      <c r="CC69" s="203"/>
      <c r="CD69" s="203"/>
      <c r="CE69" s="143"/>
      <c r="CF69" s="203"/>
      <c r="CG69" s="181">
        <v>5</v>
      </c>
      <c r="CH69" s="143"/>
      <c r="CI69" s="143"/>
      <c r="CJ69" s="203"/>
      <c r="CK69" s="203"/>
      <c r="CL69" s="203"/>
      <c r="CM69" s="203"/>
      <c r="CN69" s="143"/>
      <c r="CO69" s="143"/>
      <c r="CP69" s="203"/>
      <c r="CQ69" s="143"/>
      <c r="CR69" s="203"/>
      <c r="CS69" s="143"/>
      <c r="CT69" s="300"/>
    </row>
    <row r="70" spans="1:98" x14ac:dyDescent="0.25">
      <c r="A70" s="127" t="s">
        <v>396</v>
      </c>
      <c r="B70" s="18" t="s">
        <v>709</v>
      </c>
      <c r="C70" s="203" t="s">
        <v>708</v>
      </c>
      <c r="D70" s="65" t="s">
        <v>28</v>
      </c>
      <c r="E70" s="65" t="s">
        <v>29</v>
      </c>
      <c r="F70" s="2" t="s">
        <v>47</v>
      </c>
      <c r="G70" s="168" t="s">
        <v>317</v>
      </c>
      <c r="H70" s="262" t="s">
        <v>710</v>
      </c>
      <c r="I70" s="46"/>
      <c r="J70" s="46"/>
      <c r="L70" s="46"/>
      <c r="M70" s="19"/>
      <c r="N70" s="46"/>
      <c r="O70" s="46"/>
      <c r="P70" s="46"/>
      <c r="Q70" s="19"/>
      <c r="R70" s="19"/>
      <c r="S70" s="19"/>
      <c r="T70" s="20"/>
      <c r="U70" s="19"/>
      <c r="V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M70" s="46"/>
      <c r="AQ70" s="19"/>
      <c r="AR70" s="19"/>
      <c r="AS70" s="19"/>
      <c r="AT70" s="19"/>
      <c r="AU70" s="19"/>
      <c r="AV70" s="19">
        <v>1</v>
      </c>
      <c r="AW70" s="19"/>
      <c r="AY70" s="19"/>
      <c r="AZ70" s="20"/>
      <c r="BA70" s="19"/>
      <c r="BB70" s="19"/>
      <c r="BC70" s="19"/>
      <c r="BD70" s="19"/>
      <c r="BE70" s="19"/>
      <c r="BF70" s="19"/>
      <c r="BG70" s="19"/>
      <c r="BH70" s="20"/>
      <c r="BI70" s="19"/>
      <c r="BJ70" s="19"/>
      <c r="BK70" s="20"/>
      <c r="BL70" s="252">
        <v>0.77</v>
      </c>
      <c r="BM70" s="244">
        <f t="shared" ref="BM70" si="54">ROUND((BL70*1.5+4)*10,0)/10</f>
        <v>5.2</v>
      </c>
      <c r="BN70" s="244">
        <f t="shared" ref="BN70" si="55">ROUND((BL70*1.5+10)*10,0)/10</f>
        <v>11.2</v>
      </c>
      <c r="BO70" s="244">
        <f t="shared" ref="BO70" si="56">ROUND(BN70/0.7*1.22,0)</f>
        <v>20</v>
      </c>
      <c r="BP70" s="82"/>
      <c r="BQ70" s="159"/>
      <c r="BR70" s="105"/>
      <c r="BS70" s="105"/>
      <c r="BT70" s="137"/>
      <c r="BU70" s="107"/>
      <c r="BV70" s="143"/>
      <c r="BW70" s="170"/>
      <c r="BX70" s="143"/>
      <c r="BY70" s="143"/>
      <c r="BZ70" s="203"/>
      <c r="CA70" s="143"/>
      <c r="CB70" s="143"/>
      <c r="CC70" s="203"/>
      <c r="CD70" s="203"/>
      <c r="CE70" s="143"/>
      <c r="CF70" s="203"/>
      <c r="CG70" s="196"/>
      <c r="CH70" s="181">
        <v>5</v>
      </c>
      <c r="CI70" s="143"/>
      <c r="CJ70" s="203"/>
      <c r="CK70" s="203">
        <v>5</v>
      </c>
      <c r="CL70" s="203"/>
      <c r="CM70" s="203"/>
      <c r="CN70" s="143"/>
      <c r="CO70" s="143"/>
      <c r="CP70" s="203"/>
      <c r="CQ70" s="143"/>
      <c r="CR70" s="203"/>
      <c r="CS70" s="143"/>
      <c r="CT70" s="300"/>
    </row>
    <row r="71" spans="1:98" x14ac:dyDescent="0.25">
      <c r="A71" s="127" t="s">
        <v>396</v>
      </c>
      <c r="B71" s="18" t="s">
        <v>548</v>
      </c>
      <c r="C71" s="203">
        <v>12170000009013</v>
      </c>
      <c r="D71" s="65" t="s">
        <v>28</v>
      </c>
      <c r="E71" s="65" t="s">
        <v>29</v>
      </c>
      <c r="F71" s="2" t="s">
        <v>47</v>
      </c>
      <c r="G71" s="71" t="s">
        <v>40</v>
      </c>
      <c r="H71" s="2" t="s">
        <v>547</v>
      </c>
      <c r="I71" s="46"/>
      <c r="J71" s="46">
        <v>1</v>
      </c>
      <c r="L71" s="46"/>
      <c r="M71" s="19"/>
      <c r="N71" s="46"/>
      <c r="O71" s="46"/>
      <c r="P71" s="46"/>
      <c r="Q71" s="19"/>
      <c r="R71" s="19"/>
      <c r="S71" s="19"/>
      <c r="T71" s="20"/>
      <c r="U71" s="19"/>
      <c r="V71" s="19"/>
      <c r="X71" s="19"/>
      <c r="Y71" s="19"/>
      <c r="Z71" s="19"/>
      <c r="AA71" s="19">
        <v>2</v>
      </c>
      <c r="AB71" s="19"/>
      <c r="AC71" s="19"/>
      <c r="AD71" s="19"/>
      <c r="AE71" s="19"/>
      <c r="AF71" s="19"/>
      <c r="AG71" s="19"/>
      <c r="AH71" s="19"/>
      <c r="AI71" s="19"/>
      <c r="AJ71" s="19"/>
      <c r="AM71" s="46"/>
      <c r="AQ71" s="19"/>
      <c r="AR71" s="19"/>
      <c r="AS71" s="19"/>
      <c r="AT71" s="19"/>
      <c r="AU71" s="19"/>
      <c r="AV71" s="19"/>
      <c r="AW71" s="19"/>
      <c r="AY71" s="19"/>
      <c r="AZ71" s="20"/>
      <c r="BA71" s="19"/>
      <c r="BB71" s="19"/>
      <c r="BC71" s="19"/>
      <c r="BD71" s="19"/>
      <c r="BE71" s="19"/>
      <c r="BF71" s="19"/>
      <c r="BG71" s="19"/>
      <c r="BH71" s="20"/>
      <c r="BI71" s="19"/>
      <c r="BJ71" s="19"/>
      <c r="BK71" s="20"/>
      <c r="BL71" s="252">
        <v>0.11</v>
      </c>
      <c r="BM71" s="244">
        <f t="shared" si="9"/>
        <v>4.2</v>
      </c>
      <c r="BN71" s="244">
        <f t="shared" si="10"/>
        <v>10.199999999999999</v>
      </c>
      <c r="BO71" s="244">
        <f t="shared" si="11"/>
        <v>18</v>
      </c>
      <c r="BP71" s="82">
        <v>0</v>
      </c>
      <c r="BQ71" s="159">
        <v>10</v>
      </c>
      <c r="BR71" s="105"/>
      <c r="BS71" s="105"/>
      <c r="BT71" s="137"/>
      <c r="BU71" s="107"/>
      <c r="BV71" s="143"/>
      <c r="BW71" s="170"/>
      <c r="BX71" s="143"/>
      <c r="BY71" s="181">
        <v>10</v>
      </c>
      <c r="BZ71" s="203">
        <v>10</v>
      </c>
      <c r="CA71" s="143"/>
      <c r="CB71" s="143"/>
      <c r="CC71" s="203"/>
      <c r="CD71" s="203"/>
      <c r="CE71" s="143"/>
      <c r="CF71" s="203"/>
      <c r="CG71" s="143"/>
      <c r="CH71" s="143"/>
      <c r="CI71" s="143"/>
      <c r="CJ71" s="203"/>
      <c r="CK71" s="203"/>
      <c r="CL71" s="203"/>
      <c r="CM71" s="203"/>
      <c r="CN71" s="143"/>
      <c r="CO71" s="143"/>
      <c r="CP71" s="203"/>
      <c r="CQ71" s="143"/>
      <c r="CR71" s="203"/>
      <c r="CS71" s="143"/>
      <c r="CT71" s="300"/>
    </row>
    <row r="72" spans="1:98" x14ac:dyDescent="0.25">
      <c r="A72" s="127" t="s">
        <v>396</v>
      </c>
      <c r="B72" s="18" t="s">
        <v>709</v>
      </c>
      <c r="C72" s="203" t="s">
        <v>744</v>
      </c>
      <c r="D72" s="65" t="s">
        <v>28</v>
      </c>
      <c r="E72" s="65" t="s">
        <v>29</v>
      </c>
      <c r="F72" s="2" t="s">
        <v>47</v>
      </c>
      <c r="G72" s="71" t="s">
        <v>351</v>
      </c>
      <c r="H72" s="282" t="s">
        <v>745</v>
      </c>
      <c r="I72" s="46"/>
      <c r="J72" s="46"/>
      <c r="L72" s="46"/>
      <c r="M72" s="19"/>
      <c r="N72" s="46"/>
      <c r="O72" s="46"/>
      <c r="P72" s="46"/>
      <c r="Q72" s="19"/>
      <c r="R72" s="19"/>
      <c r="S72" s="19"/>
      <c r="T72" s="20"/>
      <c r="U72" s="19"/>
      <c r="V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M72" s="46"/>
      <c r="AQ72" s="19"/>
      <c r="AR72" s="19"/>
      <c r="AS72" s="19"/>
      <c r="AT72" s="19"/>
      <c r="AU72" s="19"/>
      <c r="AV72" s="19"/>
      <c r="AW72" s="19"/>
      <c r="AX72" s="46">
        <v>1</v>
      </c>
      <c r="AY72" s="19"/>
      <c r="AZ72" s="20"/>
      <c r="BA72" s="19"/>
      <c r="BB72" s="19"/>
      <c r="BC72" s="19"/>
      <c r="BD72" s="19"/>
      <c r="BE72" s="19"/>
      <c r="BF72" s="19"/>
      <c r="BG72" s="19"/>
      <c r="BH72" s="20"/>
      <c r="BI72" s="19"/>
      <c r="BJ72" s="19"/>
      <c r="BK72" s="20"/>
      <c r="BL72" s="252">
        <v>0.24</v>
      </c>
      <c r="BM72" s="244">
        <f t="shared" si="9"/>
        <v>4.4000000000000004</v>
      </c>
      <c r="BN72" s="244">
        <f t="shared" si="10"/>
        <v>10.4</v>
      </c>
      <c r="BO72" s="244">
        <f t="shared" si="11"/>
        <v>18</v>
      </c>
      <c r="BP72" s="82"/>
      <c r="BQ72" s="159"/>
      <c r="BR72" s="105"/>
      <c r="BS72" s="105"/>
      <c r="BT72" s="137"/>
      <c r="BU72" s="107"/>
      <c r="BV72" s="143"/>
      <c r="BW72" s="170"/>
      <c r="BX72" s="143"/>
      <c r="BY72" s="143"/>
      <c r="BZ72" s="203"/>
      <c r="CA72" s="143"/>
      <c r="CB72" s="143"/>
      <c r="CC72" s="203"/>
      <c r="CD72" s="203"/>
      <c r="CE72" s="143"/>
      <c r="CF72" s="203"/>
      <c r="CG72" s="143"/>
      <c r="CH72" s="143"/>
      <c r="CI72" s="181">
        <v>5</v>
      </c>
      <c r="CJ72" s="203"/>
      <c r="CK72" s="203"/>
      <c r="CL72" s="203"/>
      <c r="CM72" s="203">
        <v>5</v>
      </c>
      <c r="CN72" s="143"/>
      <c r="CO72" s="143"/>
      <c r="CP72" s="203"/>
      <c r="CQ72" s="143"/>
      <c r="CR72" s="203"/>
      <c r="CS72" s="143"/>
      <c r="CT72" s="300"/>
    </row>
    <row r="73" spans="1:98" x14ac:dyDescent="0.25">
      <c r="A73" s="127" t="s">
        <v>396</v>
      </c>
      <c r="B73" s="18" t="s">
        <v>394</v>
      </c>
      <c r="C73" s="203">
        <v>12170000010203</v>
      </c>
      <c r="D73" s="65" t="s">
        <v>28</v>
      </c>
      <c r="E73" s="65" t="s">
        <v>29</v>
      </c>
      <c r="F73" s="2" t="s">
        <v>47</v>
      </c>
      <c r="G73" s="71" t="s">
        <v>32</v>
      </c>
      <c r="H73" s="2" t="s">
        <v>392</v>
      </c>
      <c r="I73" s="46" t="s">
        <v>434</v>
      </c>
      <c r="J73" s="46">
        <v>1</v>
      </c>
      <c r="L73" s="46"/>
      <c r="M73" s="19"/>
      <c r="N73" s="46"/>
      <c r="O73" s="46"/>
      <c r="P73" s="46">
        <v>2</v>
      </c>
      <c r="Q73" s="19"/>
      <c r="R73" s="19">
        <v>2</v>
      </c>
      <c r="S73" s="19"/>
      <c r="T73" s="20"/>
      <c r="U73" s="19"/>
      <c r="V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M73" s="46"/>
      <c r="AQ73" s="19"/>
      <c r="AR73" s="19"/>
      <c r="AS73" s="19"/>
      <c r="AT73" s="19"/>
      <c r="AU73" s="19"/>
      <c r="AV73" s="19"/>
      <c r="AW73" s="19"/>
      <c r="AY73" s="19"/>
      <c r="AZ73" s="20"/>
      <c r="BA73" s="19"/>
      <c r="BB73" s="19"/>
      <c r="BC73" s="19"/>
      <c r="BD73" s="19"/>
      <c r="BE73" s="19"/>
      <c r="BF73" s="19"/>
      <c r="BG73" s="19"/>
      <c r="BH73" s="20"/>
      <c r="BI73" s="19"/>
      <c r="BJ73" s="19"/>
      <c r="BK73" s="20"/>
      <c r="BL73" s="254">
        <v>0.99</v>
      </c>
      <c r="BM73" s="244">
        <f t="shared" si="9"/>
        <v>5.5</v>
      </c>
      <c r="BN73" s="244">
        <f t="shared" si="10"/>
        <v>11.5</v>
      </c>
      <c r="BO73" s="244">
        <f t="shared" si="11"/>
        <v>20</v>
      </c>
      <c r="BP73" s="82">
        <v>0</v>
      </c>
      <c r="BQ73" s="159">
        <v>5</v>
      </c>
      <c r="BR73" s="108"/>
      <c r="BS73" s="108"/>
      <c r="BT73" s="138"/>
      <c r="BU73" s="121">
        <v>5</v>
      </c>
      <c r="BV73" s="144"/>
      <c r="BW73" s="171"/>
      <c r="BX73" s="144"/>
      <c r="BY73" s="144"/>
      <c r="BZ73" s="208"/>
      <c r="CA73" s="144"/>
      <c r="CB73" s="144"/>
      <c r="CC73" s="208"/>
      <c r="CD73" s="208"/>
      <c r="CE73" s="144"/>
      <c r="CF73" s="208"/>
      <c r="CG73" s="144"/>
      <c r="CH73" s="144"/>
      <c r="CI73" s="144"/>
      <c r="CJ73" s="208"/>
      <c r="CK73" s="208"/>
      <c r="CL73" s="208"/>
      <c r="CM73" s="208"/>
      <c r="CN73" s="144"/>
      <c r="CO73" s="144"/>
      <c r="CP73" s="208"/>
      <c r="CQ73" s="144"/>
      <c r="CR73" s="208"/>
      <c r="CS73" s="144"/>
      <c r="CT73" s="300"/>
    </row>
    <row r="74" spans="1:98" x14ac:dyDescent="0.25">
      <c r="A74" s="45" t="s">
        <v>74</v>
      </c>
      <c r="B74" s="25" t="s">
        <v>74</v>
      </c>
      <c r="C74" s="204">
        <v>17470000000807</v>
      </c>
      <c r="D74" s="66" t="s">
        <v>28</v>
      </c>
      <c r="E74" s="66" t="s">
        <v>29</v>
      </c>
      <c r="F74" s="5" t="s">
        <v>48</v>
      </c>
      <c r="G74" s="72" t="s">
        <v>30</v>
      </c>
      <c r="H74" s="5" t="s">
        <v>166</v>
      </c>
      <c r="I74" s="48" t="s">
        <v>435</v>
      </c>
      <c r="J74" s="48">
        <v>1</v>
      </c>
      <c r="K74" s="89" t="s">
        <v>277</v>
      </c>
      <c r="L74" s="48">
        <v>1</v>
      </c>
      <c r="M74" s="21">
        <v>1</v>
      </c>
      <c r="N74" s="48">
        <v>1</v>
      </c>
      <c r="O74" s="48">
        <v>1</v>
      </c>
      <c r="P74" s="48">
        <v>1</v>
      </c>
      <c r="Q74" s="21">
        <v>1</v>
      </c>
      <c r="R74" s="21">
        <v>1</v>
      </c>
      <c r="S74" s="21">
        <v>1</v>
      </c>
      <c r="T74" s="26">
        <v>1</v>
      </c>
      <c r="U74" s="21">
        <v>1</v>
      </c>
      <c r="V74" s="21">
        <v>1</v>
      </c>
      <c r="W74" s="48">
        <v>1</v>
      </c>
      <c r="X74" s="21"/>
      <c r="Y74" s="21"/>
      <c r="Z74" s="21"/>
      <c r="AA74" s="21"/>
      <c r="AB74" s="21"/>
      <c r="AC74" s="21"/>
      <c r="AD74" s="21"/>
      <c r="AE74" s="21">
        <v>1</v>
      </c>
      <c r="AF74" s="21">
        <v>1</v>
      </c>
      <c r="AG74" s="21">
        <v>1</v>
      </c>
      <c r="AH74" s="21">
        <v>1</v>
      </c>
      <c r="AI74" s="21">
        <v>1</v>
      </c>
      <c r="AJ74" s="48" t="s">
        <v>755</v>
      </c>
      <c r="AK74" s="48">
        <v>1</v>
      </c>
      <c r="AL74" s="48">
        <v>1</v>
      </c>
      <c r="AM74" s="48">
        <v>1</v>
      </c>
      <c r="AN74" s="48">
        <v>1</v>
      </c>
      <c r="AO74" s="48">
        <v>1</v>
      </c>
      <c r="AP74" s="48">
        <v>1</v>
      </c>
      <c r="AQ74" s="21">
        <v>1</v>
      </c>
      <c r="AR74" s="21">
        <v>1</v>
      </c>
      <c r="AS74" s="21"/>
      <c r="AT74" s="21"/>
      <c r="AU74" s="21"/>
      <c r="AV74" s="21"/>
      <c r="AW74" s="21"/>
      <c r="AX74" s="273"/>
      <c r="AY74" s="21"/>
      <c r="AZ74" s="26"/>
      <c r="BA74" s="21"/>
      <c r="BB74" s="21"/>
      <c r="BC74" s="21"/>
      <c r="BD74" s="21"/>
      <c r="BE74" s="21"/>
      <c r="BF74" s="21"/>
      <c r="BG74" s="21"/>
      <c r="BH74" s="26"/>
      <c r="BI74" s="21"/>
      <c r="BJ74" s="21"/>
      <c r="BK74" s="26"/>
      <c r="BL74" s="251">
        <v>8.33</v>
      </c>
      <c r="BM74" s="244">
        <f t="shared" si="9"/>
        <v>16.5</v>
      </c>
      <c r="BN74" s="244">
        <f t="shared" si="10"/>
        <v>22.5</v>
      </c>
      <c r="BO74" s="244">
        <f t="shared" si="11"/>
        <v>39</v>
      </c>
      <c r="BP74" s="82">
        <v>107</v>
      </c>
      <c r="BQ74" s="159">
        <v>19</v>
      </c>
      <c r="BR74" s="119" t="s">
        <v>326</v>
      </c>
      <c r="BS74" s="107"/>
      <c r="BT74" s="137"/>
      <c r="BU74" s="119">
        <v>6</v>
      </c>
      <c r="BV74" s="181">
        <v>4</v>
      </c>
      <c r="BW74" s="182">
        <v>6</v>
      </c>
      <c r="BX74" s="143"/>
      <c r="BY74" s="143"/>
      <c r="BZ74" s="203"/>
      <c r="CA74" s="181">
        <v>10</v>
      </c>
      <c r="CB74" s="181">
        <v>10</v>
      </c>
      <c r="CC74" s="203"/>
      <c r="CD74" s="203">
        <v>20</v>
      </c>
      <c r="CE74" s="143"/>
      <c r="CF74" s="203"/>
      <c r="CG74" s="143"/>
      <c r="CH74" s="181">
        <v>24</v>
      </c>
      <c r="CI74" s="143"/>
      <c r="CJ74" s="203"/>
      <c r="CK74" s="203">
        <v>24</v>
      </c>
      <c r="CL74" s="203"/>
      <c r="CM74" s="203"/>
      <c r="CN74" s="181">
        <v>5</v>
      </c>
      <c r="CO74" s="181">
        <v>10</v>
      </c>
      <c r="CP74" s="203">
        <v>15</v>
      </c>
      <c r="CQ74" s="143">
        <v>5</v>
      </c>
      <c r="CR74" s="203">
        <v>5</v>
      </c>
      <c r="CS74" s="143"/>
      <c r="CT74" s="300"/>
    </row>
    <row r="75" spans="1:98" x14ac:dyDescent="0.25">
      <c r="A75" s="127" t="s">
        <v>74</v>
      </c>
      <c r="B75" s="18" t="s">
        <v>74</v>
      </c>
      <c r="C75" s="203">
        <v>17470000018201</v>
      </c>
      <c r="D75" s="65" t="s">
        <v>28</v>
      </c>
      <c r="E75" s="65" t="s">
        <v>29</v>
      </c>
      <c r="F75" s="2" t="s">
        <v>48</v>
      </c>
      <c r="G75" s="71" t="s">
        <v>32</v>
      </c>
      <c r="H75" s="2" t="s">
        <v>514</v>
      </c>
      <c r="I75" s="46"/>
      <c r="J75" s="46">
        <v>1</v>
      </c>
      <c r="K75" s="88" t="s">
        <v>277</v>
      </c>
      <c r="L75" s="46"/>
      <c r="M75" s="19"/>
      <c r="N75" s="46"/>
      <c r="O75" s="46"/>
      <c r="P75" s="46"/>
      <c r="Q75" s="19"/>
      <c r="R75" s="19"/>
      <c r="S75" s="19"/>
      <c r="T75" s="20"/>
      <c r="U75" s="19"/>
      <c r="V75" s="19"/>
      <c r="X75" s="19"/>
      <c r="Y75" s="19"/>
      <c r="Z75" s="19"/>
      <c r="AA75" s="19"/>
      <c r="AB75" s="19">
        <v>1</v>
      </c>
      <c r="AC75" s="19">
        <v>1</v>
      </c>
      <c r="AD75" s="19"/>
      <c r="AE75" s="19"/>
      <c r="AF75" s="19"/>
      <c r="AG75" s="19"/>
      <c r="AH75" s="19"/>
      <c r="AI75" s="19"/>
      <c r="AJ75" s="19"/>
      <c r="AM75" s="46"/>
      <c r="AQ75" s="19"/>
      <c r="AR75" s="19"/>
      <c r="AS75" s="19"/>
      <c r="AT75" s="19"/>
      <c r="AU75" s="19"/>
      <c r="AV75" s="19"/>
      <c r="AW75" s="19"/>
      <c r="AY75" s="19"/>
      <c r="AZ75" s="20"/>
      <c r="BA75" s="19"/>
      <c r="BB75" s="19"/>
      <c r="BC75" s="19"/>
      <c r="BD75" s="19"/>
      <c r="BE75" s="19"/>
      <c r="BF75" s="19"/>
      <c r="BG75" s="19"/>
      <c r="BH75" s="20"/>
      <c r="BI75" s="19"/>
      <c r="BJ75" s="19"/>
      <c r="BK75" s="20"/>
      <c r="BL75" s="252">
        <v>13.85</v>
      </c>
      <c r="BM75" s="244">
        <f t="shared" si="9"/>
        <v>24.8</v>
      </c>
      <c r="BN75" s="244">
        <f t="shared" si="10"/>
        <v>30.8</v>
      </c>
      <c r="BO75" s="244">
        <f t="shared" si="11"/>
        <v>54</v>
      </c>
      <c r="BP75" s="82">
        <v>53</v>
      </c>
      <c r="BQ75" s="159">
        <v>50</v>
      </c>
      <c r="BR75" s="107"/>
      <c r="BS75" s="107"/>
      <c r="BT75" s="137"/>
      <c r="BU75" s="107"/>
      <c r="BV75" s="196"/>
      <c r="BW75" s="197"/>
      <c r="BX75" s="143"/>
      <c r="BY75" s="181">
        <v>23</v>
      </c>
      <c r="BZ75" s="203">
        <v>23</v>
      </c>
      <c r="CA75" s="143"/>
      <c r="CB75" s="181">
        <v>15</v>
      </c>
      <c r="CC75" s="203"/>
      <c r="CD75" s="203">
        <v>15</v>
      </c>
      <c r="CE75" s="181">
        <v>50</v>
      </c>
      <c r="CF75" s="203">
        <v>50</v>
      </c>
      <c r="CG75" s="181">
        <v>15</v>
      </c>
      <c r="CH75" s="181">
        <v>60</v>
      </c>
      <c r="CI75" s="143"/>
      <c r="CJ75" s="203"/>
      <c r="CK75" s="203"/>
      <c r="CL75" s="203">
        <v>40</v>
      </c>
      <c r="CM75" s="203">
        <v>20</v>
      </c>
      <c r="CN75" s="181">
        <v>40</v>
      </c>
      <c r="CO75" s="143"/>
      <c r="CP75" s="203">
        <v>40</v>
      </c>
      <c r="CQ75" s="143">
        <v>40</v>
      </c>
      <c r="CR75" s="203">
        <v>40</v>
      </c>
      <c r="CS75" s="143">
        <v>30</v>
      </c>
      <c r="CT75" s="300"/>
    </row>
    <row r="76" spans="1:98" x14ac:dyDescent="0.25">
      <c r="A76" s="127" t="s">
        <v>104</v>
      </c>
      <c r="B76" s="18" t="s">
        <v>104</v>
      </c>
      <c r="C76" s="203">
        <v>17470000000797</v>
      </c>
      <c r="D76" s="65" t="s">
        <v>28</v>
      </c>
      <c r="E76" s="65" t="s">
        <v>29</v>
      </c>
      <c r="F76" s="2" t="s">
        <v>48</v>
      </c>
      <c r="G76" s="71" t="s">
        <v>37</v>
      </c>
      <c r="H76" s="2" t="s">
        <v>650</v>
      </c>
      <c r="I76" s="46"/>
      <c r="J76" s="46"/>
      <c r="K76" s="88" t="s">
        <v>277</v>
      </c>
      <c r="L76" s="46"/>
      <c r="M76" s="19"/>
      <c r="N76" s="46"/>
      <c r="O76" s="46"/>
      <c r="P76" s="46"/>
      <c r="Q76" s="19"/>
      <c r="R76" s="19"/>
      <c r="S76" s="19"/>
      <c r="T76" s="20"/>
      <c r="U76" s="19"/>
      <c r="V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M76" s="46"/>
      <c r="AQ76" s="19"/>
      <c r="AR76" s="19"/>
      <c r="AS76" s="19"/>
      <c r="AT76" s="19"/>
      <c r="AU76" s="19">
        <v>1</v>
      </c>
      <c r="AV76" s="19">
        <v>1</v>
      </c>
      <c r="AW76" s="19"/>
      <c r="AY76" s="19"/>
      <c r="AZ76" s="20"/>
      <c r="BA76" s="19"/>
      <c r="BB76" s="19"/>
      <c r="BC76" s="19"/>
      <c r="BD76" s="19"/>
      <c r="BE76" s="19"/>
      <c r="BF76" s="19"/>
      <c r="BG76" s="19"/>
      <c r="BH76" s="20"/>
      <c r="BI76" s="19"/>
      <c r="BJ76" s="19"/>
      <c r="BK76" s="20"/>
      <c r="BL76" s="252">
        <v>8.93</v>
      </c>
      <c r="BM76" s="244">
        <f t="shared" ref="BM76" si="57">ROUND((BL76*1.5+4)*10,0)/10</f>
        <v>17.399999999999999</v>
      </c>
      <c r="BN76" s="244">
        <f t="shared" ref="BN76" si="58">ROUND((BL76*1.5+10)*10,0)/10</f>
        <v>23.4</v>
      </c>
      <c r="BO76" s="244">
        <f t="shared" ref="BO76" si="59">ROUND(BN76/0.7*1.22,0)</f>
        <v>41</v>
      </c>
      <c r="BP76" s="82">
        <v>2</v>
      </c>
      <c r="BQ76" s="159">
        <v>18</v>
      </c>
      <c r="BR76" s="107"/>
      <c r="BS76" s="107"/>
      <c r="BT76" s="137"/>
      <c r="BU76" s="107"/>
      <c r="BV76" s="196"/>
      <c r="BW76" s="197"/>
      <c r="BX76" s="143"/>
      <c r="BY76" s="196"/>
      <c r="BZ76" s="203"/>
      <c r="CA76" s="143"/>
      <c r="CB76" s="143"/>
      <c r="CC76" s="203"/>
      <c r="CD76" s="203"/>
      <c r="CE76" s="143"/>
      <c r="CF76" s="203"/>
      <c r="CG76" s="181">
        <v>20</v>
      </c>
      <c r="CH76" s="181">
        <v>5</v>
      </c>
      <c r="CI76" s="143"/>
      <c r="CJ76" s="203"/>
      <c r="CK76" s="203">
        <v>5</v>
      </c>
      <c r="CL76" s="203"/>
      <c r="CM76" s="203"/>
      <c r="CN76" s="181">
        <v>15</v>
      </c>
      <c r="CO76" s="143"/>
      <c r="CP76" s="203">
        <v>15</v>
      </c>
      <c r="CQ76" s="143">
        <v>5</v>
      </c>
      <c r="CR76" s="203">
        <v>5</v>
      </c>
      <c r="CS76" s="143"/>
      <c r="CT76" s="300"/>
    </row>
    <row r="77" spans="1:98" x14ac:dyDescent="0.25">
      <c r="A77" s="24" t="s">
        <v>104</v>
      </c>
      <c r="B77" s="18" t="s">
        <v>104</v>
      </c>
      <c r="C77" s="203">
        <v>17470000000809</v>
      </c>
      <c r="D77" s="65" t="s">
        <v>28</v>
      </c>
      <c r="E77" s="65" t="s">
        <v>29</v>
      </c>
      <c r="F77" s="2" t="s">
        <v>48</v>
      </c>
      <c r="G77" s="71" t="s">
        <v>31</v>
      </c>
      <c r="H77" s="2" t="s">
        <v>167</v>
      </c>
      <c r="I77" s="46" t="s">
        <v>436</v>
      </c>
      <c r="J77" s="46">
        <v>1</v>
      </c>
      <c r="K77" s="90" t="s">
        <v>277</v>
      </c>
      <c r="L77" s="49"/>
      <c r="M77" s="30"/>
      <c r="N77" s="49"/>
      <c r="O77" s="49"/>
      <c r="P77" s="49"/>
      <c r="Q77" s="30"/>
      <c r="R77" s="30"/>
      <c r="S77" s="30"/>
      <c r="T77" s="31"/>
      <c r="U77" s="30"/>
      <c r="V77" s="30"/>
      <c r="W77" s="274"/>
      <c r="X77" s="30">
        <v>1</v>
      </c>
      <c r="Y77" s="30">
        <v>1</v>
      </c>
      <c r="Z77" s="30">
        <v>1</v>
      </c>
      <c r="AA77" s="30">
        <v>1</v>
      </c>
      <c r="AB77" s="30"/>
      <c r="AC77" s="30"/>
      <c r="AD77" s="30">
        <v>1</v>
      </c>
      <c r="AE77" s="30"/>
      <c r="AF77" s="30"/>
      <c r="AG77" s="30"/>
      <c r="AH77" s="30"/>
      <c r="AI77" s="30"/>
      <c r="AJ77" s="30"/>
      <c r="AK77" s="274"/>
      <c r="AL77" s="274"/>
      <c r="AM77" s="49"/>
      <c r="AN77" s="274"/>
      <c r="AO77" s="274"/>
      <c r="AP77" s="274"/>
      <c r="AQ77" s="30"/>
      <c r="AR77" s="30"/>
      <c r="AS77" s="30">
        <v>1</v>
      </c>
      <c r="AT77" s="30">
        <v>1</v>
      </c>
      <c r="AU77" s="30"/>
      <c r="AV77" s="30"/>
      <c r="AW77" s="30">
        <v>1</v>
      </c>
      <c r="AX77" s="49">
        <v>1</v>
      </c>
      <c r="AY77" s="30">
        <v>1</v>
      </c>
      <c r="AZ77" s="31">
        <v>1</v>
      </c>
      <c r="BA77" s="30">
        <v>1</v>
      </c>
      <c r="BB77" s="30">
        <v>1</v>
      </c>
      <c r="BC77" s="30">
        <v>1</v>
      </c>
      <c r="BD77" s="30">
        <v>1</v>
      </c>
      <c r="BE77" s="30">
        <v>1</v>
      </c>
      <c r="BF77" s="30">
        <v>1</v>
      </c>
      <c r="BG77" s="30">
        <v>1</v>
      </c>
      <c r="BH77" s="31">
        <v>1</v>
      </c>
      <c r="BI77" s="39">
        <v>1</v>
      </c>
      <c r="BJ77" s="39">
        <v>1</v>
      </c>
      <c r="BK77" s="40">
        <v>1</v>
      </c>
      <c r="BL77" s="254">
        <v>8.67</v>
      </c>
      <c r="BM77" s="244">
        <f t="shared" si="9"/>
        <v>17</v>
      </c>
      <c r="BN77" s="244">
        <f t="shared" si="10"/>
        <v>23</v>
      </c>
      <c r="BO77" s="244">
        <f t="shared" si="11"/>
        <v>40</v>
      </c>
      <c r="BP77" s="82">
        <v>312</v>
      </c>
      <c r="BQ77" s="159">
        <v>60</v>
      </c>
      <c r="BR77" s="121" t="s">
        <v>327</v>
      </c>
      <c r="BS77" s="109"/>
      <c r="BT77" s="121">
        <v>24</v>
      </c>
      <c r="BU77" s="121">
        <v>38</v>
      </c>
      <c r="BV77" s="183">
        <v>27</v>
      </c>
      <c r="BW77" s="184">
        <v>41</v>
      </c>
      <c r="BX77" s="144"/>
      <c r="BY77" s="183">
        <v>25</v>
      </c>
      <c r="BZ77" s="208">
        <v>25</v>
      </c>
      <c r="CA77" s="183">
        <v>35</v>
      </c>
      <c r="CB77" s="183">
        <v>15</v>
      </c>
      <c r="CC77" s="208"/>
      <c r="CD77" s="208">
        <v>50</v>
      </c>
      <c r="CE77" s="183">
        <v>20</v>
      </c>
      <c r="CF77" s="208">
        <v>20</v>
      </c>
      <c r="CG77" s="183">
        <v>5</v>
      </c>
      <c r="CH77" s="183">
        <v>30</v>
      </c>
      <c r="CI77" s="144"/>
      <c r="CJ77" s="208"/>
      <c r="CK77" s="208"/>
      <c r="CL77" s="208">
        <v>30</v>
      </c>
      <c r="CM77" s="208"/>
      <c r="CN77" s="183">
        <v>25</v>
      </c>
      <c r="CO77" s="183">
        <v>20</v>
      </c>
      <c r="CP77" s="208">
        <v>45</v>
      </c>
      <c r="CQ77" s="144">
        <v>40</v>
      </c>
      <c r="CR77" s="208">
        <v>40</v>
      </c>
      <c r="CS77" s="144">
        <v>20</v>
      </c>
      <c r="CT77" s="300"/>
    </row>
    <row r="78" spans="1:98" x14ac:dyDescent="0.25">
      <c r="A78" s="45" t="s">
        <v>105</v>
      </c>
      <c r="B78" s="25" t="s">
        <v>246</v>
      </c>
      <c r="C78" s="204">
        <v>17170000002934</v>
      </c>
      <c r="D78" s="66" t="s">
        <v>28</v>
      </c>
      <c r="E78" s="66" t="s">
        <v>29</v>
      </c>
      <c r="F78" s="5" t="s">
        <v>63</v>
      </c>
      <c r="G78" s="72" t="s">
        <v>30</v>
      </c>
      <c r="H78" s="5" t="s">
        <v>168</v>
      </c>
      <c r="I78" s="46" t="s">
        <v>437</v>
      </c>
      <c r="J78" s="46">
        <v>1</v>
      </c>
      <c r="K78" s="88" t="s">
        <v>278</v>
      </c>
      <c r="L78" s="46">
        <v>1</v>
      </c>
      <c r="M78" s="19">
        <v>1</v>
      </c>
      <c r="N78" s="78">
        <v>1</v>
      </c>
      <c r="O78" s="78">
        <v>1</v>
      </c>
      <c r="P78" s="78"/>
      <c r="Q78" s="19">
        <v>1</v>
      </c>
      <c r="R78" s="19">
        <v>1</v>
      </c>
      <c r="S78" s="19"/>
      <c r="T78" s="20">
        <v>1</v>
      </c>
      <c r="U78" s="19">
        <v>1</v>
      </c>
      <c r="V78" s="19">
        <v>1</v>
      </c>
      <c r="W78" s="46">
        <v>1</v>
      </c>
      <c r="X78" s="19"/>
      <c r="Y78" s="19"/>
      <c r="Z78" s="19"/>
      <c r="AA78" s="19"/>
      <c r="AB78" s="19"/>
      <c r="AC78" s="19"/>
      <c r="AD78" s="19"/>
      <c r="AE78" s="19">
        <v>1</v>
      </c>
      <c r="AF78" s="19">
        <v>1</v>
      </c>
      <c r="AG78" s="19">
        <v>1</v>
      </c>
      <c r="AH78" s="19">
        <v>1</v>
      </c>
      <c r="AI78" s="19">
        <v>1</v>
      </c>
      <c r="AJ78" s="46" t="s">
        <v>755</v>
      </c>
      <c r="AK78" s="46">
        <v>1</v>
      </c>
      <c r="AL78" s="46">
        <v>1</v>
      </c>
      <c r="AM78" s="46">
        <v>1</v>
      </c>
      <c r="AN78" s="46">
        <v>1</v>
      </c>
      <c r="AO78" s="46">
        <v>1</v>
      </c>
      <c r="AP78" s="46">
        <v>1</v>
      </c>
      <c r="AQ78" s="19">
        <v>1</v>
      </c>
      <c r="AR78" s="19">
        <v>1</v>
      </c>
      <c r="AS78" s="19"/>
      <c r="AT78" s="19"/>
      <c r="AU78" s="19"/>
      <c r="AV78" s="19"/>
      <c r="AW78" s="19"/>
      <c r="AY78" s="19"/>
      <c r="AZ78" s="20"/>
      <c r="BA78" s="19"/>
      <c r="BB78" s="19"/>
      <c r="BC78" s="19"/>
      <c r="BD78" s="19"/>
      <c r="BE78" s="19"/>
      <c r="BF78" s="19"/>
      <c r="BG78" s="19"/>
      <c r="BH78" s="20"/>
      <c r="BI78" s="19"/>
      <c r="BJ78" s="19"/>
      <c r="BK78" s="20"/>
      <c r="BL78" s="251">
        <v>2.15</v>
      </c>
      <c r="BM78" s="244">
        <f t="shared" si="9"/>
        <v>7.2</v>
      </c>
      <c r="BN78" s="244">
        <f t="shared" si="10"/>
        <v>13.2</v>
      </c>
      <c r="BO78" s="244">
        <f t="shared" si="11"/>
        <v>23</v>
      </c>
      <c r="BP78" s="82">
        <v>29</v>
      </c>
      <c r="BQ78" s="159">
        <v>22</v>
      </c>
      <c r="BR78" s="119" t="s">
        <v>296</v>
      </c>
      <c r="BS78" s="107"/>
      <c r="BT78" s="137"/>
      <c r="BU78" s="119">
        <v>4</v>
      </c>
      <c r="BV78" s="178">
        <v>2</v>
      </c>
      <c r="BW78" s="182">
        <v>4</v>
      </c>
      <c r="BX78" s="143"/>
      <c r="BY78" s="143"/>
      <c r="BZ78" s="203"/>
      <c r="CA78" s="181">
        <v>8</v>
      </c>
      <c r="CB78" s="181">
        <v>10</v>
      </c>
      <c r="CC78" s="203"/>
      <c r="CD78" s="203">
        <v>18</v>
      </c>
      <c r="CE78" s="181">
        <v>5</v>
      </c>
      <c r="CF78" s="203">
        <v>5</v>
      </c>
      <c r="CG78" s="143"/>
      <c r="CH78" s="181">
        <v>30</v>
      </c>
      <c r="CI78" s="143"/>
      <c r="CJ78" s="203"/>
      <c r="CK78" s="203">
        <v>30</v>
      </c>
      <c r="CL78" s="203"/>
      <c r="CM78" s="203"/>
      <c r="CN78" s="143"/>
      <c r="CO78" s="143"/>
      <c r="CP78" s="203"/>
      <c r="CQ78" s="143"/>
      <c r="CR78" s="203"/>
      <c r="CS78" s="143"/>
      <c r="CT78" s="300"/>
    </row>
    <row r="79" spans="1:98" x14ac:dyDescent="0.25">
      <c r="A79" s="24" t="s">
        <v>65</v>
      </c>
      <c r="B79" s="18" t="s">
        <v>246</v>
      </c>
      <c r="C79" s="203">
        <v>17170000002913</v>
      </c>
      <c r="D79" s="65" t="s">
        <v>28</v>
      </c>
      <c r="E79" s="65" t="s">
        <v>29</v>
      </c>
      <c r="F79" s="2" t="s">
        <v>63</v>
      </c>
      <c r="G79" s="71" t="s">
        <v>31</v>
      </c>
      <c r="H79" s="2" t="s">
        <v>169</v>
      </c>
      <c r="I79" s="46" t="s">
        <v>438</v>
      </c>
      <c r="J79" s="46">
        <v>1</v>
      </c>
      <c r="K79" s="88" t="s">
        <v>278</v>
      </c>
      <c r="L79" s="46"/>
      <c r="M79" s="19"/>
      <c r="N79" s="46"/>
      <c r="O79" s="46"/>
      <c r="P79" s="46"/>
      <c r="Q79" s="19"/>
      <c r="R79" s="19"/>
      <c r="S79" s="19"/>
      <c r="T79" s="20"/>
      <c r="U79" s="19"/>
      <c r="V79" s="19"/>
      <c r="X79" s="19"/>
      <c r="Y79" s="19"/>
      <c r="Z79" s="19"/>
      <c r="AA79" s="19"/>
      <c r="AB79" s="19"/>
      <c r="AC79" s="19"/>
      <c r="AD79" s="19">
        <v>1</v>
      </c>
      <c r="AE79" s="19"/>
      <c r="AF79" s="19"/>
      <c r="AG79" s="19"/>
      <c r="AH79" s="19"/>
      <c r="AI79" s="19"/>
      <c r="AJ79" s="19"/>
      <c r="AM79" s="46"/>
      <c r="AQ79" s="19"/>
      <c r="AR79" s="19"/>
      <c r="AS79" s="19"/>
      <c r="AT79" s="19"/>
      <c r="AU79" s="19">
        <v>1</v>
      </c>
      <c r="AV79" s="19">
        <v>1</v>
      </c>
      <c r="AW79" s="19">
        <v>1</v>
      </c>
      <c r="AY79" s="19">
        <v>1</v>
      </c>
      <c r="AZ79" s="20">
        <v>1</v>
      </c>
      <c r="BA79" s="19"/>
      <c r="BB79" s="19"/>
      <c r="BC79" s="19"/>
      <c r="BD79" s="19"/>
      <c r="BE79" s="19"/>
      <c r="BF79" s="19"/>
      <c r="BG79" s="19"/>
      <c r="BH79" s="20"/>
      <c r="BI79" s="19">
        <v>1</v>
      </c>
      <c r="BJ79" s="19">
        <v>1</v>
      </c>
      <c r="BK79" s="20"/>
      <c r="BL79" s="251">
        <v>0.99399999999999999</v>
      </c>
      <c r="BM79" s="244">
        <f t="shared" si="9"/>
        <v>5.5</v>
      </c>
      <c r="BN79" s="244">
        <f t="shared" si="10"/>
        <v>11.5</v>
      </c>
      <c r="BO79" s="244">
        <f t="shared" si="11"/>
        <v>20</v>
      </c>
      <c r="BP79" s="82">
        <v>17</v>
      </c>
      <c r="BQ79" s="159">
        <v>11</v>
      </c>
      <c r="BR79" s="119" t="s">
        <v>297</v>
      </c>
      <c r="BS79" s="107"/>
      <c r="BT79" s="119">
        <v>2</v>
      </c>
      <c r="BU79" s="119">
        <v>8</v>
      </c>
      <c r="BV79" s="143"/>
      <c r="BW79" s="182">
        <v>2</v>
      </c>
      <c r="BX79" s="143"/>
      <c r="BY79" s="143"/>
      <c r="BZ79" s="203"/>
      <c r="CA79" s="143"/>
      <c r="CB79" s="181">
        <v>5</v>
      </c>
      <c r="CC79" s="203"/>
      <c r="CD79" s="203">
        <v>5</v>
      </c>
      <c r="CE79" s="143"/>
      <c r="CF79" s="203"/>
      <c r="CG79" s="143"/>
      <c r="CH79" s="143"/>
      <c r="CI79" s="143"/>
      <c r="CJ79" s="203"/>
      <c r="CK79" s="203"/>
      <c r="CL79" s="203"/>
      <c r="CM79" s="203"/>
      <c r="CN79" s="143"/>
      <c r="CO79" s="143"/>
      <c r="CP79" s="203"/>
      <c r="CQ79" s="143">
        <v>15</v>
      </c>
      <c r="CR79" s="203">
        <v>15</v>
      </c>
      <c r="CS79" s="143"/>
      <c r="CT79" s="300"/>
    </row>
    <row r="80" spans="1:98" x14ac:dyDescent="0.25">
      <c r="A80" s="24" t="s">
        <v>65</v>
      </c>
      <c r="B80" s="18" t="s">
        <v>246</v>
      </c>
      <c r="C80" s="203" t="s">
        <v>544</v>
      </c>
      <c r="D80" s="65" t="s">
        <v>28</v>
      </c>
      <c r="E80" s="65" t="s">
        <v>29</v>
      </c>
      <c r="F80" s="2" t="s">
        <v>63</v>
      </c>
      <c r="G80" s="71" t="s">
        <v>32</v>
      </c>
      <c r="H80" s="2" t="s">
        <v>170</v>
      </c>
      <c r="I80" s="46" t="s">
        <v>439</v>
      </c>
      <c r="J80" s="46">
        <v>1</v>
      </c>
      <c r="K80" s="88" t="s">
        <v>278</v>
      </c>
      <c r="L80" s="46"/>
      <c r="M80" s="19"/>
      <c r="N80" s="46"/>
      <c r="O80" s="46"/>
      <c r="P80" s="46"/>
      <c r="Q80" s="19"/>
      <c r="R80" s="19"/>
      <c r="S80" s="19"/>
      <c r="T80" s="20"/>
      <c r="U80" s="19"/>
      <c r="V80" s="19"/>
      <c r="X80" s="22">
        <v>1</v>
      </c>
      <c r="Y80" s="22">
        <v>1</v>
      </c>
      <c r="Z80" s="27">
        <v>1</v>
      </c>
      <c r="AA80" s="19">
        <v>1</v>
      </c>
      <c r="AB80" s="19"/>
      <c r="AC80" s="19"/>
      <c r="AD80" s="19"/>
      <c r="AE80" s="19"/>
      <c r="AF80" s="19"/>
      <c r="AG80" s="19"/>
      <c r="AH80" s="19"/>
      <c r="AI80" s="19"/>
      <c r="AJ80" s="19"/>
      <c r="AM80" s="46"/>
      <c r="AQ80" s="19"/>
      <c r="AR80" s="19"/>
      <c r="AS80" s="19">
        <v>1</v>
      </c>
      <c r="AT80" s="19">
        <v>1</v>
      </c>
      <c r="AU80" s="19"/>
      <c r="AV80" s="19"/>
      <c r="AW80" s="19"/>
      <c r="AY80" s="19"/>
      <c r="AZ80" s="20"/>
      <c r="BA80" s="19"/>
      <c r="BB80" s="19"/>
      <c r="BC80" s="19"/>
      <c r="BD80" s="19"/>
      <c r="BE80" s="19"/>
      <c r="BF80" s="19"/>
      <c r="BG80" s="19"/>
      <c r="BH80" s="20"/>
      <c r="BI80" s="19"/>
      <c r="BJ80" s="19"/>
      <c r="BK80" s="20"/>
      <c r="BL80" s="251">
        <v>3.11</v>
      </c>
      <c r="BM80" s="244">
        <f t="shared" si="9"/>
        <v>8.6999999999999993</v>
      </c>
      <c r="BN80" s="244">
        <f t="shared" si="10"/>
        <v>14.7</v>
      </c>
      <c r="BO80" s="244">
        <f t="shared" si="11"/>
        <v>26</v>
      </c>
      <c r="BP80" s="82">
        <v>72</v>
      </c>
      <c r="BQ80" s="159">
        <v>36</v>
      </c>
      <c r="BR80" s="119" t="s">
        <v>298</v>
      </c>
      <c r="BS80" s="107"/>
      <c r="BT80" s="119">
        <v>5</v>
      </c>
      <c r="BU80" s="119">
        <v>16</v>
      </c>
      <c r="BV80" s="178">
        <v>13</v>
      </c>
      <c r="BW80" s="182" t="s">
        <v>335</v>
      </c>
      <c r="BX80" s="143"/>
      <c r="BY80" s="181">
        <v>5</v>
      </c>
      <c r="BZ80" s="203">
        <v>5</v>
      </c>
      <c r="CA80" s="181">
        <v>20</v>
      </c>
      <c r="CB80" s="143"/>
      <c r="CC80" s="203"/>
      <c r="CD80" s="203">
        <v>20</v>
      </c>
      <c r="CE80" s="143"/>
      <c r="CF80" s="203"/>
      <c r="CG80" s="181">
        <v>20</v>
      </c>
      <c r="CH80" s="181">
        <v>30</v>
      </c>
      <c r="CI80" s="143"/>
      <c r="CJ80" s="203"/>
      <c r="CK80" s="203">
        <v>30</v>
      </c>
      <c r="CL80" s="203"/>
      <c r="CM80" s="203"/>
      <c r="CN80" s="143"/>
      <c r="CO80" s="143"/>
      <c r="CP80" s="203"/>
      <c r="CQ80" s="143">
        <v>5</v>
      </c>
      <c r="CR80" s="203">
        <v>5</v>
      </c>
      <c r="CS80" s="143"/>
      <c r="CT80" s="300"/>
    </row>
    <row r="81" spans="1:98" x14ac:dyDescent="0.25">
      <c r="A81" s="24" t="s">
        <v>65</v>
      </c>
      <c r="B81" s="18" t="s">
        <v>246</v>
      </c>
      <c r="C81" s="203">
        <v>17170000002978</v>
      </c>
      <c r="D81" s="65" t="s">
        <v>28</v>
      </c>
      <c r="E81" s="65" t="s">
        <v>29</v>
      </c>
      <c r="F81" s="2" t="s">
        <v>63</v>
      </c>
      <c r="G81" s="71" t="s">
        <v>37</v>
      </c>
      <c r="H81" s="2" t="s">
        <v>171</v>
      </c>
      <c r="I81" s="46" t="s">
        <v>440</v>
      </c>
      <c r="J81" s="46">
        <v>1</v>
      </c>
      <c r="K81" s="88" t="s">
        <v>278</v>
      </c>
      <c r="L81" s="46"/>
      <c r="M81" s="19"/>
      <c r="N81" s="46"/>
      <c r="O81" s="46"/>
      <c r="P81" s="46"/>
      <c r="Q81" s="19"/>
      <c r="R81" s="19"/>
      <c r="S81" s="19"/>
      <c r="T81" s="20"/>
      <c r="U81" s="19"/>
      <c r="V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M81" s="46"/>
      <c r="AQ81" s="19"/>
      <c r="AR81" s="19"/>
      <c r="AS81" s="19"/>
      <c r="AT81" s="19"/>
      <c r="AU81" s="19"/>
      <c r="AV81" s="19"/>
      <c r="AW81" s="19"/>
      <c r="AX81" s="46">
        <v>1</v>
      </c>
      <c r="AY81" s="19"/>
      <c r="AZ81" s="20"/>
      <c r="BA81" s="19"/>
      <c r="BB81" s="19"/>
      <c r="BC81" s="19"/>
      <c r="BD81" s="19"/>
      <c r="BE81" s="19"/>
      <c r="BF81" s="22">
        <v>1</v>
      </c>
      <c r="BG81" s="19"/>
      <c r="BH81" s="28">
        <v>1</v>
      </c>
      <c r="BI81" s="19"/>
      <c r="BJ81" s="19"/>
      <c r="BK81" s="20"/>
      <c r="BL81" s="251">
        <v>1.25</v>
      </c>
      <c r="BM81" s="244">
        <f t="shared" si="9"/>
        <v>5.9</v>
      </c>
      <c r="BN81" s="244">
        <f t="shared" si="10"/>
        <v>11.9</v>
      </c>
      <c r="BO81" s="244">
        <f t="shared" si="11"/>
        <v>21</v>
      </c>
      <c r="BP81" s="82">
        <v>32</v>
      </c>
      <c r="BQ81" s="159">
        <v>17</v>
      </c>
      <c r="BR81" s="119" t="s">
        <v>328</v>
      </c>
      <c r="BS81" s="107"/>
      <c r="BT81" s="119">
        <v>4</v>
      </c>
      <c r="BU81" s="119">
        <v>6</v>
      </c>
      <c r="BV81" s="178">
        <v>5</v>
      </c>
      <c r="BW81" s="182">
        <v>10</v>
      </c>
      <c r="BX81" s="181">
        <v>5</v>
      </c>
      <c r="BY81" s="143"/>
      <c r="BZ81" s="203"/>
      <c r="CA81" s="181">
        <v>5</v>
      </c>
      <c r="CB81" s="181">
        <v>5</v>
      </c>
      <c r="CC81" s="203"/>
      <c r="CD81" s="203">
        <v>10</v>
      </c>
      <c r="CE81" s="181">
        <v>5</v>
      </c>
      <c r="CF81" s="203">
        <v>5</v>
      </c>
      <c r="CG81" s="143"/>
      <c r="CH81" s="143"/>
      <c r="CI81" s="143"/>
      <c r="CJ81" s="203"/>
      <c r="CK81" s="203"/>
      <c r="CL81" s="203"/>
      <c r="CM81" s="203"/>
      <c r="CN81" s="181">
        <v>5</v>
      </c>
      <c r="CO81" s="143"/>
      <c r="CP81" s="203">
        <v>5</v>
      </c>
      <c r="CQ81" s="143">
        <v>10</v>
      </c>
      <c r="CR81" s="203">
        <v>10</v>
      </c>
      <c r="CS81" s="143"/>
      <c r="CT81" s="300"/>
    </row>
    <row r="82" spans="1:98" x14ac:dyDescent="0.25">
      <c r="A82" s="24" t="s">
        <v>65</v>
      </c>
      <c r="B82" s="18" t="s">
        <v>246</v>
      </c>
      <c r="C82" s="203">
        <v>17170000002941</v>
      </c>
      <c r="D82" s="65" t="s">
        <v>28</v>
      </c>
      <c r="E82" s="65" t="s">
        <v>29</v>
      </c>
      <c r="F82" s="2" t="s">
        <v>63</v>
      </c>
      <c r="G82" s="71" t="s">
        <v>38</v>
      </c>
      <c r="H82" s="2" t="s">
        <v>172</v>
      </c>
      <c r="I82" s="46" t="s">
        <v>441</v>
      </c>
      <c r="J82" s="46">
        <v>1</v>
      </c>
      <c r="K82" s="88" t="s">
        <v>278</v>
      </c>
      <c r="L82" s="46"/>
      <c r="M82" s="19"/>
      <c r="N82" s="46"/>
      <c r="O82" s="46"/>
      <c r="P82" s="46"/>
      <c r="Q82" s="19"/>
      <c r="R82" s="19"/>
      <c r="S82" s="19"/>
      <c r="T82" s="20"/>
      <c r="U82" s="19"/>
      <c r="V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M82" s="46"/>
      <c r="AQ82" s="19"/>
      <c r="AR82" s="19"/>
      <c r="AS82" s="19"/>
      <c r="AT82" s="19"/>
      <c r="AU82" s="19"/>
      <c r="AV82" s="19"/>
      <c r="AW82" s="19"/>
      <c r="AY82" s="19"/>
      <c r="AZ82" s="20"/>
      <c r="BA82" s="27">
        <v>1</v>
      </c>
      <c r="BB82" s="27">
        <v>1</v>
      </c>
      <c r="BC82" s="27">
        <v>1</v>
      </c>
      <c r="BD82" s="19">
        <v>1</v>
      </c>
      <c r="BE82" s="27">
        <v>1</v>
      </c>
      <c r="BF82" s="19"/>
      <c r="BG82" s="19">
        <v>1</v>
      </c>
      <c r="BH82" s="20"/>
      <c r="BI82" s="19"/>
      <c r="BJ82" s="19"/>
      <c r="BK82" s="20"/>
      <c r="BL82" s="251">
        <v>2.5099999999999998</v>
      </c>
      <c r="BM82" s="244">
        <f t="shared" si="9"/>
        <v>7.8</v>
      </c>
      <c r="BN82" s="244">
        <f t="shared" si="10"/>
        <v>13.8</v>
      </c>
      <c r="BO82" s="244">
        <f t="shared" si="11"/>
        <v>24</v>
      </c>
      <c r="BP82" s="82">
        <v>14</v>
      </c>
      <c r="BQ82" s="159">
        <v>6</v>
      </c>
      <c r="BR82" s="122" t="s">
        <v>329</v>
      </c>
      <c r="BS82" s="119">
        <v>4</v>
      </c>
      <c r="BT82" s="119">
        <v>3</v>
      </c>
      <c r="BU82" s="169" t="s">
        <v>404</v>
      </c>
      <c r="BV82" s="143"/>
      <c r="BW82" s="180">
        <v>4</v>
      </c>
      <c r="BX82" s="181">
        <v>5</v>
      </c>
      <c r="BY82" s="143"/>
      <c r="BZ82" s="203"/>
      <c r="CA82" s="143"/>
      <c r="CB82" s="143"/>
      <c r="CC82" s="203"/>
      <c r="CD82" s="203"/>
      <c r="CE82" s="143"/>
      <c r="CF82" s="203"/>
      <c r="CG82" s="143"/>
      <c r="CH82" s="181">
        <v>5</v>
      </c>
      <c r="CI82" s="143"/>
      <c r="CJ82" s="203">
        <v>5</v>
      </c>
      <c r="CK82" s="203"/>
      <c r="CL82" s="203"/>
      <c r="CM82" s="203"/>
      <c r="CN82" s="143"/>
      <c r="CO82" s="143"/>
      <c r="CP82" s="203"/>
      <c r="CQ82" s="143"/>
      <c r="CR82" s="203"/>
      <c r="CS82" s="143"/>
      <c r="CT82" s="300"/>
    </row>
    <row r="83" spans="1:98" x14ac:dyDescent="0.25">
      <c r="A83" s="24" t="s">
        <v>65</v>
      </c>
      <c r="B83" s="18" t="s">
        <v>246</v>
      </c>
      <c r="C83" s="203">
        <v>17170000002984</v>
      </c>
      <c r="D83" s="65" t="s">
        <v>28</v>
      </c>
      <c r="E83" s="65" t="s">
        <v>29</v>
      </c>
      <c r="F83" s="2" t="s">
        <v>63</v>
      </c>
      <c r="G83" s="71" t="s">
        <v>39</v>
      </c>
      <c r="H83" s="2" t="s">
        <v>173</v>
      </c>
      <c r="I83" s="46" t="s">
        <v>442</v>
      </c>
      <c r="J83" s="46">
        <v>1</v>
      </c>
      <c r="K83" s="88" t="s">
        <v>278</v>
      </c>
      <c r="L83" s="46"/>
      <c r="M83" s="19"/>
      <c r="N83" s="46"/>
      <c r="O83" s="46"/>
      <c r="P83" s="46"/>
      <c r="Q83" s="19"/>
      <c r="R83" s="19"/>
      <c r="S83" s="19"/>
      <c r="T83" s="20"/>
      <c r="U83" s="19"/>
      <c r="V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M83" s="46"/>
      <c r="AQ83" s="19"/>
      <c r="AR83" s="19"/>
      <c r="AS83" s="19"/>
      <c r="AT83" s="19"/>
      <c r="AU83" s="19"/>
      <c r="AV83" s="19"/>
      <c r="AW83" s="19"/>
      <c r="AY83" s="19"/>
      <c r="AZ83" s="20"/>
      <c r="BA83" s="19"/>
      <c r="BB83" s="19"/>
      <c r="BC83" s="19"/>
      <c r="BD83" s="19"/>
      <c r="BE83" s="19"/>
      <c r="BF83" s="19"/>
      <c r="BG83" s="19"/>
      <c r="BH83" s="20"/>
      <c r="BI83" s="19"/>
      <c r="BJ83" s="19"/>
      <c r="BK83" s="23">
        <v>1</v>
      </c>
      <c r="BL83" s="251">
        <v>1.3540000000000001</v>
      </c>
      <c r="BM83" s="244">
        <f t="shared" si="9"/>
        <v>6</v>
      </c>
      <c r="BN83" s="244">
        <f t="shared" si="10"/>
        <v>12</v>
      </c>
      <c r="BO83" s="244">
        <f t="shared" si="11"/>
        <v>21</v>
      </c>
      <c r="BP83" s="82">
        <v>0</v>
      </c>
      <c r="BQ83" s="159">
        <v>1</v>
      </c>
      <c r="BR83" s="119">
        <v>1</v>
      </c>
      <c r="BS83" s="107"/>
      <c r="BT83" s="137"/>
      <c r="BU83" s="137"/>
      <c r="BV83" s="143"/>
      <c r="BW83" s="170"/>
      <c r="BX83" s="143"/>
      <c r="BY83" s="143"/>
      <c r="BZ83" s="203"/>
      <c r="CA83" s="143"/>
      <c r="CB83" s="143"/>
      <c r="CC83" s="203"/>
      <c r="CD83" s="203"/>
      <c r="CE83" s="143"/>
      <c r="CF83" s="203"/>
      <c r="CG83" s="143"/>
      <c r="CH83" s="143"/>
      <c r="CI83" s="143"/>
      <c r="CJ83" s="203"/>
      <c r="CK83" s="203"/>
      <c r="CL83" s="203"/>
      <c r="CM83" s="203"/>
      <c r="CN83" s="143"/>
      <c r="CO83" s="143"/>
      <c r="CP83" s="203"/>
      <c r="CQ83" s="143"/>
      <c r="CR83" s="203"/>
      <c r="CS83" s="143"/>
      <c r="CT83" s="300"/>
    </row>
    <row r="84" spans="1:98" x14ac:dyDescent="0.25">
      <c r="A84" s="24" t="s">
        <v>65</v>
      </c>
      <c r="B84" s="18" t="s">
        <v>518</v>
      </c>
      <c r="C84" s="203">
        <v>17170000032891</v>
      </c>
      <c r="D84" s="65" t="s">
        <v>28</v>
      </c>
      <c r="E84" s="65" t="s">
        <v>29</v>
      </c>
      <c r="F84" s="2" t="s">
        <v>63</v>
      </c>
      <c r="G84" s="71" t="s">
        <v>41</v>
      </c>
      <c r="H84" s="2" t="s">
        <v>517</v>
      </c>
      <c r="I84" s="46"/>
      <c r="J84" s="46">
        <v>1</v>
      </c>
      <c r="K84" s="88" t="s">
        <v>278</v>
      </c>
      <c r="L84" s="46"/>
      <c r="M84" s="19"/>
      <c r="N84" s="46"/>
      <c r="O84" s="46"/>
      <c r="P84" s="46"/>
      <c r="Q84" s="19"/>
      <c r="R84" s="19"/>
      <c r="S84" s="19"/>
      <c r="T84" s="20"/>
      <c r="U84" s="19"/>
      <c r="V84" s="19"/>
      <c r="X84" s="19"/>
      <c r="Y84" s="19"/>
      <c r="Z84" s="19"/>
      <c r="AA84" s="19"/>
      <c r="AB84" s="19">
        <v>1</v>
      </c>
      <c r="AC84" s="19">
        <v>1</v>
      </c>
      <c r="AD84" s="19"/>
      <c r="AE84" s="19"/>
      <c r="AF84" s="19"/>
      <c r="AG84" s="19"/>
      <c r="AH84" s="19"/>
      <c r="AI84" s="19"/>
      <c r="AJ84" s="19"/>
      <c r="AM84" s="46"/>
      <c r="AQ84" s="19"/>
      <c r="AR84" s="19"/>
      <c r="AS84" s="19"/>
      <c r="AT84" s="19"/>
      <c r="AU84" s="19"/>
      <c r="AV84" s="19"/>
      <c r="AW84" s="19"/>
      <c r="AY84" s="19"/>
      <c r="AZ84" s="20"/>
      <c r="BA84" s="19"/>
      <c r="BB84" s="19"/>
      <c r="BC84" s="19"/>
      <c r="BD84" s="19"/>
      <c r="BE84" s="19"/>
      <c r="BF84" s="19"/>
      <c r="BG84" s="19"/>
      <c r="BH84" s="20"/>
      <c r="BI84" s="19"/>
      <c r="BJ84" s="19"/>
      <c r="BK84" s="20"/>
      <c r="BL84" s="252">
        <v>4.6500000000000004</v>
      </c>
      <c r="BM84" s="244">
        <f t="shared" si="9"/>
        <v>11</v>
      </c>
      <c r="BN84" s="244">
        <f t="shared" si="10"/>
        <v>17</v>
      </c>
      <c r="BO84" s="244">
        <f t="shared" si="11"/>
        <v>30</v>
      </c>
      <c r="BP84" s="248">
        <v>98</v>
      </c>
      <c r="BQ84" s="159">
        <v>100</v>
      </c>
      <c r="BR84" s="107"/>
      <c r="BS84" s="107"/>
      <c r="BT84" s="137"/>
      <c r="BU84" s="137"/>
      <c r="BV84" s="143"/>
      <c r="BW84" s="170"/>
      <c r="BX84" s="143"/>
      <c r="BY84" s="181">
        <v>10</v>
      </c>
      <c r="BZ84" s="203">
        <v>10</v>
      </c>
      <c r="CA84" s="143"/>
      <c r="CB84" s="181">
        <v>35</v>
      </c>
      <c r="CC84" s="203"/>
      <c r="CD84" s="203">
        <v>35</v>
      </c>
      <c r="CE84" s="181">
        <v>150</v>
      </c>
      <c r="CF84" s="203">
        <v>150</v>
      </c>
      <c r="CG84" s="143"/>
      <c r="CH84" s="181">
        <v>100</v>
      </c>
      <c r="CI84" s="143"/>
      <c r="CJ84" s="203"/>
      <c r="CK84" s="203">
        <v>100</v>
      </c>
      <c r="CL84" s="203"/>
      <c r="CM84" s="203"/>
      <c r="CN84" s="181">
        <v>40</v>
      </c>
      <c r="CO84" s="143"/>
      <c r="CP84" s="203">
        <v>40</v>
      </c>
      <c r="CQ84" s="143">
        <v>30</v>
      </c>
      <c r="CR84" s="203">
        <v>30</v>
      </c>
      <c r="CS84" s="143"/>
      <c r="CT84" s="300"/>
    </row>
    <row r="85" spans="1:98" x14ac:dyDescent="0.25">
      <c r="A85" s="24" t="s">
        <v>65</v>
      </c>
      <c r="B85" s="18" t="s">
        <v>246</v>
      </c>
      <c r="C85" s="203">
        <v>17170000002952</v>
      </c>
      <c r="D85" s="65" t="s">
        <v>28</v>
      </c>
      <c r="E85" s="65" t="s">
        <v>29</v>
      </c>
      <c r="F85" s="2" t="s">
        <v>63</v>
      </c>
      <c r="G85" s="71" t="s">
        <v>40</v>
      </c>
      <c r="H85" s="1" t="s">
        <v>369</v>
      </c>
      <c r="I85" s="46" t="s">
        <v>443</v>
      </c>
      <c r="J85" s="46">
        <v>1</v>
      </c>
      <c r="K85" s="88" t="s">
        <v>278</v>
      </c>
      <c r="L85" s="46"/>
      <c r="M85" s="19"/>
      <c r="N85" s="46"/>
      <c r="O85" s="46"/>
      <c r="P85" s="46">
        <v>1</v>
      </c>
      <c r="Q85" s="19"/>
      <c r="R85" s="19"/>
      <c r="S85" s="19">
        <v>1</v>
      </c>
      <c r="T85" s="20"/>
      <c r="U85" s="19"/>
      <c r="V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M85" s="46"/>
      <c r="AQ85" s="19"/>
      <c r="AR85" s="19"/>
      <c r="AS85" s="19"/>
      <c r="AT85" s="19"/>
      <c r="AU85" s="19"/>
      <c r="AV85" s="19"/>
      <c r="AW85" s="19"/>
      <c r="AY85" s="19"/>
      <c r="AZ85" s="20"/>
      <c r="BA85" s="19"/>
      <c r="BB85" s="19"/>
      <c r="BC85" s="19"/>
      <c r="BD85" s="19"/>
      <c r="BE85" s="19"/>
      <c r="BF85" s="19"/>
      <c r="BG85" s="19"/>
      <c r="BH85" s="20"/>
      <c r="BI85" s="19"/>
      <c r="BJ85" s="19"/>
      <c r="BK85" s="20"/>
      <c r="BL85" s="251">
        <v>2.4</v>
      </c>
      <c r="BM85" s="244">
        <f t="shared" si="9"/>
        <v>7.6</v>
      </c>
      <c r="BN85" s="244">
        <f t="shared" si="10"/>
        <v>13.6</v>
      </c>
      <c r="BO85" s="244">
        <f t="shared" si="11"/>
        <v>24</v>
      </c>
      <c r="BP85" s="82">
        <v>2</v>
      </c>
      <c r="BQ85" s="159">
        <v>8</v>
      </c>
      <c r="BR85" s="109"/>
      <c r="BS85" s="109"/>
      <c r="BT85" s="138"/>
      <c r="BU85" s="121">
        <v>5</v>
      </c>
      <c r="BV85" s="144"/>
      <c r="BW85" s="171"/>
      <c r="BX85" s="144"/>
      <c r="BY85" s="144"/>
      <c r="BZ85" s="208"/>
      <c r="CA85" s="183">
        <v>5</v>
      </c>
      <c r="CB85" s="144"/>
      <c r="CC85" s="208"/>
      <c r="CD85" s="208">
        <v>5</v>
      </c>
      <c r="CE85" s="144"/>
      <c r="CF85" s="208"/>
      <c r="CG85" s="144"/>
      <c r="CH85" s="144"/>
      <c r="CI85" s="144"/>
      <c r="CJ85" s="208"/>
      <c r="CK85" s="208"/>
      <c r="CL85" s="208"/>
      <c r="CM85" s="208"/>
      <c r="CN85" s="144"/>
      <c r="CO85" s="144"/>
      <c r="CP85" s="208"/>
      <c r="CQ85" s="144"/>
      <c r="CR85" s="208"/>
      <c r="CS85" s="144"/>
      <c r="CT85" s="300"/>
    </row>
    <row r="86" spans="1:98" ht="26.4" x14ac:dyDescent="0.25">
      <c r="A86" s="140" t="s">
        <v>312</v>
      </c>
      <c r="B86" s="25" t="s">
        <v>247</v>
      </c>
      <c r="C86" s="207" t="s">
        <v>747</v>
      </c>
      <c r="D86" s="163" t="s">
        <v>28</v>
      </c>
      <c r="E86" s="163" t="s">
        <v>29</v>
      </c>
      <c r="F86" s="164" t="s">
        <v>64</v>
      </c>
      <c r="G86" s="165" t="s">
        <v>30</v>
      </c>
      <c r="H86" s="164" t="s">
        <v>174</v>
      </c>
      <c r="I86" s="48" t="s">
        <v>444</v>
      </c>
      <c r="J86" s="48">
        <v>1</v>
      </c>
      <c r="K86" s="89" t="s">
        <v>279</v>
      </c>
      <c r="L86" s="48"/>
      <c r="M86" s="21"/>
      <c r="N86" s="48"/>
      <c r="O86" s="48"/>
      <c r="P86" s="48"/>
      <c r="Q86" s="21"/>
      <c r="R86" s="21"/>
      <c r="S86" s="21"/>
      <c r="T86" s="26"/>
      <c r="U86" s="21"/>
      <c r="V86" s="21"/>
      <c r="W86" s="273"/>
      <c r="X86" s="21"/>
      <c r="Y86" s="21"/>
      <c r="Z86" s="21"/>
      <c r="AA86" s="21"/>
      <c r="AB86" s="21"/>
      <c r="AC86" s="21"/>
      <c r="AD86" s="21">
        <v>1</v>
      </c>
      <c r="AE86" s="21"/>
      <c r="AF86" s="21"/>
      <c r="AG86" s="21"/>
      <c r="AH86" s="21"/>
      <c r="AI86" s="21"/>
      <c r="AJ86" s="21"/>
      <c r="AK86" s="273"/>
      <c r="AL86" s="273"/>
      <c r="AM86" s="48"/>
      <c r="AN86" s="273"/>
      <c r="AO86" s="273"/>
      <c r="AP86" s="273"/>
      <c r="AQ86" s="21"/>
      <c r="AR86" s="21"/>
      <c r="AS86" s="21"/>
      <c r="AT86" s="21"/>
      <c r="AU86" s="21"/>
      <c r="AV86" s="21"/>
      <c r="AW86" s="21">
        <v>1</v>
      </c>
      <c r="AX86" s="48">
        <v>1</v>
      </c>
      <c r="AY86" s="21">
        <v>1</v>
      </c>
      <c r="AZ86" s="26"/>
      <c r="BA86" s="21"/>
      <c r="BB86" s="21"/>
      <c r="BC86" s="21"/>
      <c r="BD86" s="21"/>
      <c r="BE86" s="21"/>
      <c r="BF86" s="21"/>
      <c r="BG86" s="21"/>
      <c r="BH86" s="26"/>
      <c r="BI86" s="21"/>
      <c r="BJ86" s="21"/>
      <c r="BK86" s="26"/>
      <c r="BL86" s="253">
        <v>6.069</v>
      </c>
      <c r="BM86" s="244">
        <f t="shared" si="9"/>
        <v>13.1</v>
      </c>
      <c r="BN86" s="244">
        <f t="shared" si="10"/>
        <v>19.100000000000001</v>
      </c>
      <c r="BO86" s="244">
        <f t="shared" si="11"/>
        <v>33</v>
      </c>
      <c r="BP86" s="82">
        <v>46</v>
      </c>
      <c r="BQ86" s="159">
        <v>12</v>
      </c>
      <c r="BR86" s="119" t="s">
        <v>330</v>
      </c>
      <c r="BS86" s="119">
        <v>4</v>
      </c>
      <c r="BT86" s="119">
        <v>11</v>
      </c>
      <c r="BU86" s="119">
        <v>13</v>
      </c>
      <c r="BV86" s="181">
        <v>2</v>
      </c>
      <c r="BW86" s="182">
        <v>7</v>
      </c>
      <c r="BX86" s="143"/>
      <c r="BY86" s="143"/>
      <c r="BZ86" s="203"/>
      <c r="CA86" s="143"/>
      <c r="CB86" s="143"/>
      <c r="CC86" s="203"/>
      <c r="CD86" s="203"/>
      <c r="CE86" s="143"/>
      <c r="CF86" s="203"/>
      <c r="CG86" s="143"/>
      <c r="CH86" s="143"/>
      <c r="CI86" s="181">
        <v>5</v>
      </c>
      <c r="CJ86" s="203"/>
      <c r="CK86" s="203"/>
      <c r="CL86" s="203"/>
      <c r="CM86" s="203">
        <v>5</v>
      </c>
      <c r="CN86" s="143"/>
      <c r="CO86" s="143"/>
      <c r="CP86" s="203"/>
      <c r="CQ86" s="143"/>
      <c r="CR86" s="203"/>
      <c r="CS86" s="143"/>
      <c r="CT86" s="300"/>
    </row>
    <row r="87" spans="1:98" x14ac:dyDescent="0.25">
      <c r="A87" s="127" t="s">
        <v>306</v>
      </c>
      <c r="B87" s="18" t="s">
        <v>307</v>
      </c>
      <c r="C87" s="203">
        <v>17170000000512</v>
      </c>
      <c r="D87" s="65" t="s">
        <v>28</v>
      </c>
      <c r="E87" s="65" t="s">
        <v>29</v>
      </c>
      <c r="F87" s="2" t="s">
        <v>64</v>
      </c>
      <c r="G87" s="71" t="s">
        <v>41</v>
      </c>
      <c r="H87" s="2" t="s">
        <v>308</v>
      </c>
      <c r="I87" s="46" t="s">
        <v>445</v>
      </c>
      <c r="J87" s="46">
        <v>1</v>
      </c>
      <c r="L87" s="46"/>
      <c r="M87" s="19"/>
      <c r="N87" s="46"/>
      <c r="O87" s="46"/>
      <c r="P87" s="46"/>
      <c r="Q87" s="19"/>
      <c r="R87" s="19"/>
      <c r="S87" s="19"/>
      <c r="T87" s="20"/>
      <c r="U87" s="19"/>
      <c r="V87" s="19"/>
      <c r="X87" s="19"/>
      <c r="Y87" s="19"/>
      <c r="Z87" s="19"/>
      <c r="AA87" s="19"/>
      <c r="AB87" s="19"/>
      <c r="AC87" s="19"/>
      <c r="AD87" s="96">
        <v>1</v>
      </c>
      <c r="AE87" s="19"/>
      <c r="AF87" s="19"/>
      <c r="AG87" s="19"/>
      <c r="AH87" s="19"/>
      <c r="AI87" s="19"/>
      <c r="AJ87" s="19"/>
      <c r="AM87" s="46"/>
      <c r="AQ87" s="19"/>
      <c r="AR87" s="19"/>
      <c r="AS87" s="19"/>
      <c r="AT87" s="19"/>
      <c r="AU87" s="19"/>
      <c r="AV87" s="19"/>
      <c r="AW87" s="96">
        <v>1</v>
      </c>
      <c r="AX87" s="283">
        <v>1</v>
      </c>
      <c r="AY87" s="96">
        <v>1</v>
      </c>
      <c r="AZ87" s="20"/>
      <c r="BA87" s="19"/>
      <c r="BB87" s="19"/>
      <c r="BC87" s="19"/>
      <c r="BD87" s="19"/>
      <c r="BE87" s="19"/>
      <c r="BF87" s="19"/>
      <c r="BG87" s="19"/>
      <c r="BH87" s="20"/>
      <c r="BI87" s="19"/>
      <c r="BJ87" s="19"/>
      <c r="BK87" s="20"/>
      <c r="BL87" s="251">
        <v>3.39</v>
      </c>
      <c r="BM87" s="244">
        <f t="shared" si="9"/>
        <v>9.1</v>
      </c>
      <c r="BN87" s="244">
        <f t="shared" si="10"/>
        <v>15.1</v>
      </c>
      <c r="BO87" s="244">
        <f t="shared" si="11"/>
        <v>26</v>
      </c>
      <c r="BP87" s="82">
        <v>9</v>
      </c>
      <c r="BQ87" s="159">
        <v>7</v>
      </c>
      <c r="BR87" s="107"/>
      <c r="BS87" s="106">
        <v>4</v>
      </c>
      <c r="BT87" s="119">
        <v>6</v>
      </c>
      <c r="BU87" s="119">
        <v>2</v>
      </c>
      <c r="BV87" s="178">
        <v>4</v>
      </c>
      <c r="BW87" s="182">
        <v>3</v>
      </c>
      <c r="BX87" s="143"/>
      <c r="BY87" s="143"/>
      <c r="BZ87" s="203"/>
      <c r="CA87" s="143"/>
      <c r="CB87" s="143"/>
      <c r="CC87" s="203"/>
      <c r="CD87" s="203"/>
      <c r="CE87" s="143"/>
      <c r="CF87" s="203"/>
      <c r="CG87" s="143"/>
      <c r="CH87" s="143"/>
      <c r="CI87" s="143"/>
      <c r="CJ87" s="203"/>
      <c r="CK87" s="203"/>
      <c r="CL87" s="203"/>
      <c r="CM87" s="203"/>
      <c r="CN87" s="143"/>
      <c r="CO87" s="143"/>
      <c r="CP87" s="203"/>
      <c r="CQ87" s="143"/>
      <c r="CR87" s="203"/>
      <c r="CS87" s="143"/>
      <c r="CT87" s="300"/>
    </row>
    <row r="88" spans="1:98" x14ac:dyDescent="0.25">
      <c r="A88" s="127" t="s">
        <v>306</v>
      </c>
      <c r="B88" s="18" t="s">
        <v>711</v>
      </c>
      <c r="C88" s="203">
        <v>17170000008800</v>
      </c>
      <c r="D88" s="65" t="s">
        <v>28</v>
      </c>
      <c r="E88" s="65" t="s">
        <v>29</v>
      </c>
      <c r="F88" s="2" t="s">
        <v>64</v>
      </c>
      <c r="G88" s="71" t="s">
        <v>44</v>
      </c>
      <c r="H88" s="262" t="s">
        <v>712</v>
      </c>
      <c r="I88" s="46"/>
      <c r="J88" s="46"/>
      <c r="L88" s="46"/>
      <c r="M88" s="19"/>
      <c r="N88" s="46"/>
      <c r="O88" s="46"/>
      <c r="P88" s="46"/>
      <c r="Q88" s="19"/>
      <c r="R88" s="19"/>
      <c r="S88" s="19"/>
      <c r="T88" s="20"/>
      <c r="U88" s="19"/>
      <c r="V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M88" s="46"/>
      <c r="AQ88" s="19"/>
      <c r="AR88" s="19"/>
      <c r="AS88" s="19"/>
      <c r="AT88" s="19"/>
      <c r="AU88" s="19">
        <v>1</v>
      </c>
      <c r="AV88" s="19">
        <v>1</v>
      </c>
      <c r="AW88" s="19"/>
      <c r="AY88" s="19"/>
      <c r="AZ88" s="20"/>
      <c r="BA88" s="19"/>
      <c r="BB88" s="19"/>
      <c r="BC88" s="19"/>
      <c r="BD88" s="19"/>
      <c r="BE88" s="19"/>
      <c r="BF88" s="19"/>
      <c r="BG88" s="19"/>
      <c r="BH88" s="20"/>
      <c r="BI88" s="19"/>
      <c r="BJ88" s="19"/>
      <c r="BK88" s="20"/>
      <c r="BL88" s="252">
        <v>1.79</v>
      </c>
      <c r="BM88" s="244">
        <f t="shared" ref="BM88" si="60">ROUND((BL88*1.5+4)*10,0)/10</f>
        <v>6.7</v>
      </c>
      <c r="BN88" s="244">
        <f t="shared" ref="BN88" si="61">ROUND((BL88*1.5+10)*10,0)/10</f>
        <v>12.7</v>
      </c>
      <c r="BO88" s="244">
        <f t="shared" ref="BO88" si="62">ROUND(BN88/0.7*1.22,0)</f>
        <v>22</v>
      </c>
      <c r="BP88" s="82"/>
      <c r="BQ88" s="159"/>
      <c r="BR88" s="107"/>
      <c r="BS88" s="106"/>
      <c r="BT88" s="107"/>
      <c r="BU88" s="107"/>
      <c r="BV88" s="196"/>
      <c r="BW88" s="197"/>
      <c r="BX88" s="143"/>
      <c r="BY88" s="143"/>
      <c r="BZ88" s="203"/>
      <c r="CA88" s="143"/>
      <c r="CB88" s="143"/>
      <c r="CC88" s="203"/>
      <c r="CD88" s="203"/>
      <c r="CE88" s="143"/>
      <c r="CF88" s="203"/>
      <c r="CG88" s="143"/>
      <c r="CH88" s="181">
        <v>10</v>
      </c>
      <c r="CI88" s="143"/>
      <c r="CJ88" s="203"/>
      <c r="CK88" s="203">
        <v>10</v>
      </c>
      <c r="CL88" s="203"/>
      <c r="CM88" s="203"/>
      <c r="CN88" s="143"/>
      <c r="CO88" s="143"/>
      <c r="CP88" s="203"/>
      <c r="CQ88" s="303">
        <v>30</v>
      </c>
      <c r="CR88" s="203"/>
      <c r="CS88" s="304"/>
      <c r="CT88" s="300"/>
    </row>
    <row r="89" spans="1:98" ht="26.4" x14ac:dyDescent="0.25">
      <c r="A89" s="127" t="s">
        <v>312</v>
      </c>
      <c r="B89" s="18" t="s">
        <v>247</v>
      </c>
      <c r="C89" s="205" t="s">
        <v>348</v>
      </c>
      <c r="D89" s="70" t="s">
        <v>28</v>
      </c>
      <c r="E89" s="70" t="s">
        <v>29</v>
      </c>
      <c r="F89" s="1" t="s">
        <v>64</v>
      </c>
      <c r="G89" s="110" t="s">
        <v>31</v>
      </c>
      <c r="H89" s="1" t="s">
        <v>175</v>
      </c>
      <c r="I89" s="46" t="s">
        <v>446</v>
      </c>
      <c r="J89" s="46">
        <v>1</v>
      </c>
      <c r="K89" s="93" t="s">
        <v>279</v>
      </c>
      <c r="L89" s="46"/>
      <c r="M89" s="19"/>
      <c r="N89" s="46"/>
      <c r="O89" s="46"/>
      <c r="P89" s="46"/>
      <c r="Q89" s="19"/>
      <c r="R89" s="19"/>
      <c r="S89" s="19"/>
      <c r="T89" s="20"/>
      <c r="U89" s="19"/>
      <c r="V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M89" s="46"/>
      <c r="AQ89" s="19"/>
      <c r="AR89" s="19"/>
      <c r="AS89" s="19"/>
      <c r="AT89" s="19"/>
      <c r="AU89" s="19"/>
      <c r="AV89" s="19"/>
      <c r="AW89" s="19"/>
      <c r="AY89" s="19"/>
      <c r="AZ89" s="20">
        <v>1</v>
      </c>
      <c r="BA89" s="19"/>
      <c r="BB89" s="19"/>
      <c r="BC89" s="19"/>
      <c r="BD89" s="19"/>
      <c r="BE89" s="19"/>
      <c r="BF89" s="19"/>
      <c r="BG89" s="19"/>
      <c r="BH89" s="20"/>
      <c r="BI89" s="19"/>
      <c r="BJ89" s="19"/>
      <c r="BK89" s="20"/>
      <c r="BL89" s="251">
        <v>7.3860000000000001</v>
      </c>
      <c r="BM89" s="244">
        <f t="shared" si="9"/>
        <v>15.1</v>
      </c>
      <c r="BN89" s="244">
        <f t="shared" si="10"/>
        <v>21.1</v>
      </c>
      <c r="BO89" s="244">
        <f t="shared" si="11"/>
        <v>37</v>
      </c>
      <c r="BP89" s="82">
        <v>10</v>
      </c>
      <c r="BQ89" s="159">
        <v>6</v>
      </c>
      <c r="BR89" s="119" t="s">
        <v>305</v>
      </c>
      <c r="BS89" s="119">
        <v>2</v>
      </c>
      <c r="BT89" s="119">
        <v>2</v>
      </c>
      <c r="BU89" s="107"/>
      <c r="BV89" s="143"/>
      <c r="BW89" s="182">
        <v>2</v>
      </c>
      <c r="BX89" s="143"/>
      <c r="BY89" s="143"/>
      <c r="BZ89" s="203"/>
      <c r="CA89" s="143"/>
      <c r="CB89" s="143"/>
      <c r="CC89" s="203"/>
      <c r="CD89" s="203"/>
      <c r="CE89" s="143"/>
      <c r="CF89" s="203"/>
      <c r="CG89" s="143"/>
      <c r="CH89" s="143"/>
      <c r="CI89" s="143"/>
      <c r="CJ89" s="203"/>
      <c r="CK89" s="203"/>
      <c r="CL89" s="203"/>
      <c r="CM89" s="203"/>
      <c r="CN89" s="143"/>
      <c r="CO89" s="143"/>
      <c r="CP89" s="203"/>
      <c r="CQ89" s="143"/>
      <c r="CR89" s="203"/>
      <c r="CS89" s="143"/>
      <c r="CT89" s="300"/>
    </row>
    <row r="90" spans="1:98" x14ac:dyDescent="0.25">
      <c r="A90" s="127" t="s">
        <v>312</v>
      </c>
      <c r="B90" s="18" t="s">
        <v>247</v>
      </c>
      <c r="C90" s="203" t="s">
        <v>218</v>
      </c>
      <c r="D90" s="65" t="s">
        <v>28</v>
      </c>
      <c r="E90" s="65" t="s">
        <v>29</v>
      </c>
      <c r="F90" s="2" t="s">
        <v>64</v>
      </c>
      <c r="G90" s="71" t="s">
        <v>32</v>
      </c>
      <c r="H90" s="2" t="s">
        <v>176</v>
      </c>
      <c r="I90" s="46" t="s">
        <v>447</v>
      </c>
      <c r="J90" s="46">
        <v>1</v>
      </c>
      <c r="K90" s="88" t="s">
        <v>279</v>
      </c>
      <c r="L90" s="46"/>
      <c r="M90" s="19"/>
      <c r="N90" s="46"/>
      <c r="O90" s="46"/>
      <c r="P90" s="46"/>
      <c r="Q90" s="19"/>
      <c r="R90" s="19"/>
      <c r="S90" s="19"/>
      <c r="T90" s="20"/>
      <c r="U90" s="19"/>
      <c r="V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M90" s="46"/>
      <c r="AQ90" s="19"/>
      <c r="AR90" s="19"/>
      <c r="AS90" s="19"/>
      <c r="AT90" s="19"/>
      <c r="AU90" s="19"/>
      <c r="AV90" s="19"/>
      <c r="AW90" s="19"/>
      <c r="AY90" s="19"/>
      <c r="AZ90" s="20"/>
      <c r="BA90" s="19"/>
      <c r="BB90" s="19"/>
      <c r="BC90" s="19"/>
      <c r="BD90" s="19"/>
      <c r="BE90" s="19"/>
      <c r="BF90" s="19">
        <v>1</v>
      </c>
      <c r="BG90" s="19"/>
      <c r="BH90" s="20"/>
      <c r="BI90" s="19"/>
      <c r="BJ90" s="19"/>
      <c r="BK90" s="20"/>
      <c r="BL90" s="251">
        <v>9.343</v>
      </c>
      <c r="BM90" s="244">
        <f t="shared" si="9"/>
        <v>18</v>
      </c>
      <c r="BN90" s="244">
        <f t="shared" si="10"/>
        <v>24</v>
      </c>
      <c r="BO90" s="244">
        <f t="shared" si="11"/>
        <v>42</v>
      </c>
      <c r="BP90" s="82">
        <v>4</v>
      </c>
      <c r="BQ90" s="159">
        <v>0</v>
      </c>
      <c r="BR90" s="120" t="s">
        <v>216</v>
      </c>
      <c r="BS90" s="105"/>
      <c r="BT90" s="137"/>
      <c r="BU90" s="137"/>
      <c r="BV90" s="143"/>
      <c r="BW90" s="170"/>
      <c r="BX90" s="143"/>
      <c r="BY90" s="143"/>
      <c r="BZ90" s="203"/>
      <c r="CA90" s="143"/>
      <c r="CB90" s="143"/>
      <c r="CC90" s="203"/>
      <c r="CD90" s="203"/>
      <c r="CE90" s="143"/>
      <c r="CF90" s="203"/>
      <c r="CG90" s="143"/>
      <c r="CH90" s="143"/>
      <c r="CI90" s="143"/>
      <c r="CJ90" s="203"/>
      <c r="CK90" s="203"/>
      <c r="CL90" s="203"/>
      <c r="CM90" s="203"/>
      <c r="CN90" s="143"/>
      <c r="CO90" s="143"/>
      <c r="CP90" s="203"/>
      <c r="CQ90" s="143"/>
      <c r="CR90" s="203"/>
      <c r="CS90" s="143"/>
      <c r="CT90" s="300"/>
    </row>
    <row r="91" spans="1:98" x14ac:dyDescent="0.25">
      <c r="A91" s="127" t="s">
        <v>312</v>
      </c>
      <c r="B91" s="18" t="s">
        <v>247</v>
      </c>
      <c r="C91" s="203" t="s">
        <v>313</v>
      </c>
      <c r="D91" s="65" t="s">
        <v>28</v>
      </c>
      <c r="E91" s="65" t="s">
        <v>29</v>
      </c>
      <c r="F91" s="2" t="s">
        <v>64</v>
      </c>
      <c r="G91" s="71" t="s">
        <v>37</v>
      </c>
      <c r="H91" s="2" t="s">
        <v>177</v>
      </c>
      <c r="I91" s="46" t="s">
        <v>448</v>
      </c>
      <c r="J91" s="46">
        <v>1</v>
      </c>
      <c r="K91" s="88" t="s">
        <v>279</v>
      </c>
      <c r="L91" s="46"/>
      <c r="M91" s="19"/>
      <c r="N91" s="46"/>
      <c r="O91" s="46"/>
      <c r="P91" s="46"/>
      <c r="Q91" s="19"/>
      <c r="R91" s="19"/>
      <c r="S91" s="19"/>
      <c r="T91" s="20"/>
      <c r="U91" s="19"/>
      <c r="V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M91" s="46"/>
      <c r="AQ91" s="19"/>
      <c r="AR91" s="19"/>
      <c r="AS91" s="19"/>
      <c r="AT91" s="19"/>
      <c r="AU91" s="19"/>
      <c r="AV91" s="19"/>
      <c r="AW91" s="19"/>
      <c r="AY91" s="19"/>
      <c r="AZ91" s="20"/>
      <c r="BA91" s="19"/>
      <c r="BB91" s="19"/>
      <c r="BC91" s="19"/>
      <c r="BD91" s="19"/>
      <c r="BE91" s="19"/>
      <c r="BF91" s="19"/>
      <c r="BG91" s="19"/>
      <c r="BH91" s="20">
        <v>1</v>
      </c>
      <c r="BI91" s="19"/>
      <c r="BJ91" s="19"/>
      <c r="BK91" s="20"/>
      <c r="BL91" s="251">
        <v>9.343</v>
      </c>
      <c r="BM91" s="244">
        <f t="shared" si="9"/>
        <v>18</v>
      </c>
      <c r="BN91" s="244">
        <f t="shared" si="10"/>
        <v>24</v>
      </c>
      <c r="BO91" s="244">
        <f t="shared" si="11"/>
        <v>42</v>
      </c>
      <c r="BP91" s="82">
        <v>124</v>
      </c>
      <c r="BQ91" s="159">
        <v>36</v>
      </c>
      <c r="BR91" s="106">
        <v>2</v>
      </c>
      <c r="BS91" s="119">
        <v>6</v>
      </c>
      <c r="BT91" s="119">
        <v>14</v>
      </c>
      <c r="BU91" s="119">
        <v>27</v>
      </c>
      <c r="BV91" s="181">
        <v>27</v>
      </c>
      <c r="BW91" s="182" t="s">
        <v>492</v>
      </c>
      <c r="BX91" s="143"/>
      <c r="BY91" s="181">
        <v>16</v>
      </c>
      <c r="BZ91" s="203">
        <v>16</v>
      </c>
      <c r="CA91" s="181">
        <v>15</v>
      </c>
      <c r="CB91" s="181">
        <v>10</v>
      </c>
      <c r="CC91" s="203"/>
      <c r="CD91" s="203">
        <v>25</v>
      </c>
      <c r="CE91" s="181">
        <v>12</v>
      </c>
      <c r="CF91" s="203">
        <v>12</v>
      </c>
      <c r="CG91" s="143"/>
      <c r="CH91" s="181">
        <v>15</v>
      </c>
      <c r="CI91" s="143"/>
      <c r="CJ91" s="203"/>
      <c r="CK91" s="203">
        <v>15</v>
      </c>
      <c r="CL91" s="203"/>
      <c r="CM91" s="203"/>
      <c r="CN91" s="181">
        <v>10</v>
      </c>
      <c r="CO91" s="181">
        <v>10</v>
      </c>
      <c r="CP91" s="203">
        <v>20</v>
      </c>
      <c r="CQ91" s="143">
        <v>10</v>
      </c>
      <c r="CR91" s="203">
        <v>10</v>
      </c>
      <c r="CS91" s="143">
        <v>10</v>
      </c>
      <c r="CT91" s="300"/>
    </row>
    <row r="92" spans="1:98" x14ac:dyDescent="0.25">
      <c r="A92" s="127" t="s">
        <v>312</v>
      </c>
      <c r="B92" s="18" t="s">
        <v>248</v>
      </c>
      <c r="C92" s="203">
        <v>17170000000803</v>
      </c>
      <c r="D92" s="65" t="s">
        <v>28</v>
      </c>
      <c r="E92" s="65" t="s">
        <v>29</v>
      </c>
      <c r="F92" s="2" t="s">
        <v>64</v>
      </c>
      <c r="G92" s="71" t="s">
        <v>38</v>
      </c>
      <c r="H92" s="2" t="s">
        <v>178</v>
      </c>
      <c r="I92" s="46" t="s">
        <v>449</v>
      </c>
      <c r="J92" s="46">
        <v>1</v>
      </c>
      <c r="K92" s="88" t="s">
        <v>279</v>
      </c>
      <c r="L92" s="46"/>
      <c r="M92" s="19"/>
      <c r="N92" s="46"/>
      <c r="O92" s="46"/>
      <c r="P92" s="46"/>
      <c r="Q92" s="19"/>
      <c r="R92" s="19"/>
      <c r="S92" s="19"/>
      <c r="T92" s="20"/>
      <c r="U92" s="19"/>
      <c r="V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M92" s="46"/>
      <c r="AQ92" s="19"/>
      <c r="AR92" s="19"/>
      <c r="AS92" s="19"/>
      <c r="AT92" s="19"/>
      <c r="AU92" s="19"/>
      <c r="AV92" s="19"/>
      <c r="AW92" s="19"/>
      <c r="AY92" s="19"/>
      <c r="AZ92" s="20"/>
      <c r="BA92" s="19"/>
      <c r="BB92" s="19"/>
      <c r="BC92" s="19"/>
      <c r="BD92" s="19"/>
      <c r="BE92" s="19"/>
      <c r="BF92" s="19"/>
      <c r="BG92" s="19"/>
      <c r="BH92" s="20"/>
      <c r="BI92" s="19">
        <v>1</v>
      </c>
      <c r="BJ92" s="19">
        <v>1</v>
      </c>
      <c r="BK92" s="20"/>
      <c r="BL92" s="251">
        <v>9.1910000000000007</v>
      </c>
      <c r="BM92" s="244">
        <f t="shared" si="9"/>
        <v>17.8</v>
      </c>
      <c r="BN92" s="244">
        <f t="shared" si="10"/>
        <v>23.8</v>
      </c>
      <c r="BO92" s="244">
        <f t="shared" si="11"/>
        <v>41</v>
      </c>
      <c r="BP92" s="82">
        <v>6</v>
      </c>
      <c r="BQ92" s="159">
        <v>3</v>
      </c>
      <c r="BR92" s="119" t="s">
        <v>299</v>
      </c>
      <c r="BS92" s="105"/>
      <c r="BT92" s="137"/>
      <c r="BU92" s="137"/>
      <c r="BV92" s="143"/>
      <c r="BW92" s="170"/>
      <c r="BX92" s="143"/>
      <c r="BY92" s="143"/>
      <c r="BZ92" s="203"/>
      <c r="CA92" s="143"/>
      <c r="CB92" s="143"/>
      <c r="CC92" s="203"/>
      <c r="CD92" s="203"/>
      <c r="CE92" s="143"/>
      <c r="CF92" s="203"/>
      <c r="CG92" s="143"/>
      <c r="CH92" s="143"/>
      <c r="CI92" s="143"/>
      <c r="CJ92" s="203"/>
      <c r="CK92" s="203"/>
      <c r="CL92" s="203"/>
      <c r="CM92" s="203"/>
      <c r="CN92" s="143"/>
      <c r="CO92" s="143"/>
      <c r="CP92" s="203"/>
      <c r="CQ92" s="143"/>
      <c r="CR92" s="203"/>
      <c r="CS92" s="143"/>
      <c r="CT92" s="300"/>
    </row>
    <row r="93" spans="1:98" x14ac:dyDescent="0.25">
      <c r="A93" s="127" t="s">
        <v>312</v>
      </c>
      <c r="B93" s="18" t="s">
        <v>247</v>
      </c>
      <c r="C93" s="203" t="s">
        <v>106</v>
      </c>
      <c r="D93" s="65" t="s">
        <v>28</v>
      </c>
      <c r="E93" s="65" t="s">
        <v>29</v>
      </c>
      <c r="F93" s="2" t="s">
        <v>64</v>
      </c>
      <c r="G93" s="71" t="s">
        <v>39</v>
      </c>
      <c r="H93" s="2" t="s">
        <v>179</v>
      </c>
      <c r="I93" s="46" t="s">
        <v>450</v>
      </c>
      <c r="J93" s="46">
        <v>1</v>
      </c>
      <c r="K93" s="88" t="s">
        <v>279</v>
      </c>
      <c r="L93" s="46"/>
      <c r="M93" s="19"/>
      <c r="N93" s="46"/>
      <c r="O93" s="46"/>
      <c r="P93" s="46"/>
      <c r="Q93" s="19"/>
      <c r="R93" s="19"/>
      <c r="S93" s="19"/>
      <c r="T93" s="20"/>
      <c r="U93" s="19"/>
      <c r="V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M93" s="46"/>
      <c r="AQ93" s="19"/>
      <c r="AR93" s="19"/>
      <c r="AS93" s="19"/>
      <c r="AT93" s="19"/>
      <c r="AU93" s="19"/>
      <c r="AV93" s="19"/>
      <c r="AW93" s="19"/>
      <c r="AY93" s="19"/>
      <c r="AZ93" s="20"/>
      <c r="BA93" s="19"/>
      <c r="BB93" s="19"/>
      <c r="BC93" s="19"/>
      <c r="BD93" s="19"/>
      <c r="BE93" s="19"/>
      <c r="BF93" s="19"/>
      <c r="BG93" s="19"/>
      <c r="BH93" s="20"/>
      <c r="BI93" s="19"/>
      <c r="BJ93" s="19"/>
      <c r="BK93" s="20">
        <v>1</v>
      </c>
      <c r="BL93" s="251">
        <v>10.714</v>
      </c>
      <c r="BM93" s="244">
        <f t="shared" ref="BM93:BM170" si="63">ROUND((BL93*1.5+4)*10,0)/10</f>
        <v>20.100000000000001</v>
      </c>
      <c r="BN93" s="244">
        <f t="shared" ref="BN93:BN170" si="64">ROUND((BL93*1.5+10)*10,0)/10</f>
        <v>26.1</v>
      </c>
      <c r="BO93" s="244">
        <f t="shared" ref="BO93:BO170" si="65">ROUND(BN93/0.7*1.22,0)</f>
        <v>45</v>
      </c>
      <c r="BP93" s="82">
        <v>1</v>
      </c>
      <c r="BQ93" s="159">
        <v>1</v>
      </c>
      <c r="BR93" s="119">
        <v>2</v>
      </c>
      <c r="BS93" s="105"/>
      <c r="BT93" s="137"/>
      <c r="BU93" s="137"/>
      <c r="BV93" s="143"/>
      <c r="BW93" s="170"/>
      <c r="BX93" s="143"/>
      <c r="BY93" s="143"/>
      <c r="BZ93" s="203"/>
      <c r="CA93" s="143"/>
      <c r="CB93" s="143"/>
      <c r="CC93" s="203"/>
      <c r="CD93" s="203"/>
      <c r="CE93" s="143"/>
      <c r="CF93" s="203"/>
      <c r="CG93" s="143"/>
      <c r="CH93" s="143"/>
      <c r="CI93" s="143"/>
      <c r="CJ93" s="203"/>
      <c r="CK93" s="203"/>
      <c r="CL93" s="203"/>
      <c r="CM93" s="203"/>
      <c r="CN93" s="143"/>
      <c r="CO93" s="143"/>
      <c r="CP93" s="203"/>
      <c r="CQ93" s="143"/>
      <c r="CR93" s="203"/>
      <c r="CS93" s="143"/>
      <c r="CT93" s="300"/>
    </row>
    <row r="94" spans="1:98" x14ac:dyDescent="0.25">
      <c r="A94" s="24" t="s">
        <v>107</v>
      </c>
      <c r="B94" s="18" t="s">
        <v>247</v>
      </c>
      <c r="C94" s="203" t="s">
        <v>108</v>
      </c>
      <c r="D94" s="65" t="s">
        <v>28</v>
      </c>
      <c r="E94" s="65" t="s">
        <v>29</v>
      </c>
      <c r="F94" s="2" t="s">
        <v>64</v>
      </c>
      <c r="G94" s="71" t="s">
        <v>40</v>
      </c>
      <c r="H94" s="2" t="s">
        <v>180</v>
      </c>
      <c r="I94" s="46" t="s">
        <v>451</v>
      </c>
      <c r="J94" s="46">
        <v>1</v>
      </c>
      <c r="K94" s="88" t="s">
        <v>279</v>
      </c>
      <c r="L94" s="46"/>
      <c r="M94" s="19"/>
      <c r="N94" s="46"/>
      <c r="O94" s="46"/>
      <c r="P94" s="46"/>
      <c r="Q94" s="19"/>
      <c r="R94" s="19"/>
      <c r="S94" s="19"/>
      <c r="T94" s="20"/>
      <c r="U94" s="19"/>
      <c r="V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M94" s="46"/>
      <c r="AQ94" s="19"/>
      <c r="AR94" s="19"/>
      <c r="AS94" s="19"/>
      <c r="AT94" s="19"/>
      <c r="AU94" s="19"/>
      <c r="AV94" s="19"/>
      <c r="AW94" s="19"/>
      <c r="AY94" s="19"/>
      <c r="AZ94" s="20"/>
      <c r="BA94" s="19"/>
      <c r="BB94" s="19"/>
      <c r="BC94" s="19"/>
      <c r="BD94" s="19"/>
      <c r="BE94" s="19"/>
      <c r="BF94" s="19"/>
      <c r="BG94" s="19"/>
      <c r="BH94" s="20"/>
      <c r="BI94" s="19"/>
      <c r="BJ94" s="19"/>
      <c r="BK94" s="23">
        <v>1</v>
      </c>
      <c r="BL94" s="251">
        <v>4.2039999999999997</v>
      </c>
      <c r="BM94" s="244">
        <f t="shared" si="63"/>
        <v>10.3</v>
      </c>
      <c r="BN94" s="244">
        <f t="shared" si="64"/>
        <v>16.3</v>
      </c>
      <c r="BO94" s="244">
        <f t="shared" si="65"/>
        <v>28</v>
      </c>
      <c r="BP94" s="82">
        <v>0</v>
      </c>
      <c r="BQ94" s="159">
        <v>2</v>
      </c>
      <c r="BR94" s="119">
        <v>2</v>
      </c>
      <c r="BS94" s="105"/>
      <c r="BT94" s="137"/>
      <c r="BU94" s="137"/>
      <c r="BV94" s="143"/>
      <c r="BW94" s="170"/>
      <c r="BX94" s="143"/>
      <c r="BY94" s="143"/>
      <c r="BZ94" s="203"/>
      <c r="CA94" s="143"/>
      <c r="CB94" s="143"/>
      <c r="CC94" s="203"/>
      <c r="CD94" s="203"/>
      <c r="CE94" s="143"/>
      <c r="CF94" s="203"/>
      <c r="CG94" s="143"/>
      <c r="CH94" s="143"/>
      <c r="CI94" s="143"/>
      <c r="CJ94" s="203"/>
      <c r="CK94" s="203"/>
      <c r="CL94" s="203"/>
      <c r="CM94" s="203"/>
      <c r="CN94" s="143"/>
      <c r="CO94" s="143"/>
      <c r="CP94" s="203"/>
      <c r="CQ94" s="143"/>
      <c r="CR94" s="203"/>
      <c r="CS94" s="143"/>
      <c r="CT94" s="300"/>
    </row>
    <row r="95" spans="1:98" x14ac:dyDescent="0.25">
      <c r="A95" s="127" t="s">
        <v>312</v>
      </c>
      <c r="B95" s="18" t="s">
        <v>663</v>
      </c>
      <c r="C95" s="203" t="s">
        <v>664</v>
      </c>
      <c r="D95" s="65" t="s">
        <v>28</v>
      </c>
      <c r="E95" s="65" t="s">
        <v>29</v>
      </c>
      <c r="F95" s="2" t="s">
        <v>64</v>
      </c>
      <c r="G95" s="71" t="s">
        <v>42</v>
      </c>
      <c r="H95" s="2" t="s">
        <v>662</v>
      </c>
      <c r="I95" s="46"/>
      <c r="J95" s="46"/>
      <c r="K95" s="88" t="s">
        <v>279</v>
      </c>
      <c r="L95" s="46"/>
      <c r="M95" s="19"/>
      <c r="N95" s="46"/>
      <c r="O95" s="46"/>
      <c r="P95" s="46"/>
      <c r="Q95" s="19"/>
      <c r="R95" s="19"/>
      <c r="S95" s="19"/>
      <c r="T95" s="20"/>
      <c r="U95" s="19"/>
      <c r="V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M95" s="46"/>
      <c r="AQ95" s="19"/>
      <c r="AR95" s="19"/>
      <c r="AS95" s="19"/>
      <c r="AT95" s="19"/>
      <c r="AU95" s="19">
        <v>1</v>
      </c>
      <c r="AV95" s="19"/>
      <c r="AW95" s="19"/>
      <c r="AY95" s="19"/>
      <c r="AZ95" s="20"/>
      <c r="BA95" s="19"/>
      <c r="BB95" s="19"/>
      <c r="BC95" s="19"/>
      <c r="BD95" s="19"/>
      <c r="BE95" s="19"/>
      <c r="BF95" s="19"/>
      <c r="BG95" s="19"/>
      <c r="BH95" s="20"/>
      <c r="BI95" s="19"/>
      <c r="BJ95" s="19"/>
      <c r="BK95" s="20"/>
      <c r="BL95" s="252">
        <v>13.93</v>
      </c>
      <c r="BM95" s="244">
        <f t="shared" ref="BM95" si="66">ROUND((BL95*1.5+4)*10,0)/10</f>
        <v>24.9</v>
      </c>
      <c r="BN95" s="244">
        <f t="shared" ref="BN95" si="67">ROUND((BL95*1.5+10)*10,0)/10</f>
        <v>30.9</v>
      </c>
      <c r="BO95" s="244">
        <f t="shared" ref="BO95" si="68">ROUND(BN95/0.7*1.22,0)</f>
        <v>54</v>
      </c>
      <c r="BP95" s="82">
        <v>0</v>
      </c>
      <c r="BQ95" s="159">
        <v>40</v>
      </c>
      <c r="BR95" s="107"/>
      <c r="BS95" s="105"/>
      <c r="BT95" s="137"/>
      <c r="BU95" s="137"/>
      <c r="BV95" s="143"/>
      <c r="BW95" s="170"/>
      <c r="BX95" s="143"/>
      <c r="BY95" s="143"/>
      <c r="BZ95" s="203"/>
      <c r="CA95" s="143"/>
      <c r="CB95" s="143"/>
      <c r="CC95" s="203"/>
      <c r="CD95" s="203"/>
      <c r="CE95" s="143"/>
      <c r="CF95" s="203"/>
      <c r="CG95" s="181">
        <v>40</v>
      </c>
      <c r="CH95" s="143"/>
      <c r="CI95" s="143"/>
      <c r="CJ95" s="203"/>
      <c r="CK95" s="203"/>
      <c r="CL95" s="203"/>
      <c r="CM95" s="203"/>
      <c r="CN95" s="181">
        <v>20</v>
      </c>
      <c r="CO95" s="143"/>
      <c r="CP95" s="203">
        <v>20</v>
      </c>
      <c r="CQ95" s="143">
        <v>55</v>
      </c>
      <c r="CR95" s="203">
        <v>55</v>
      </c>
      <c r="CS95" s="143">
        <v>40</v>
      </c>
      <c r="CT95" s="300"/>
    </row>
    <row r="96" spans="1:98" x14ac:dyDescent="0.25">
      <c r="A96" s="127" t="s">
        <v>714</v>
      </c>
      <c r="B96" s="18" t="s">
        <v>715</v>
      </c>
      <c r="C96" s="203">
        <v>17170000028362</v>
      </c>
      <c r="D96" s="65" t="s">
        <v>28</v>
      </c>
      <c r="E96" s="65" t="s">
        <v>29</v>
      </c>
      <c r="F96" s="2" t="s">
        <v>64</v>
      </c>
      <c r="G96" s="71" t="s">
        <v>45</v>
      </c>
      <c r="H96" s="262" t="s">
        <v>717</v>
      </c>
      <c r="I96" s="46"/>
      <c r="J96" s="46"/>
      <c r="K96" s="88" t="s">
        <v>279</v>
      </c>
      <c r="L96" s="46"/>
      <c r="M96" s="19"/>
      <c r="N96" s="46"/>
      <c r="O96" s="46"/>
      <c r="P96" s="46"/>
      <c r="Q96" s="19"/>
      <c r="R96" s="19"/>
      <c r="S96" s="19"/>
      <c r="T96" s="20"/>
      <c r="U96" s="19"/>
      <c r="V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M96" s="46"/>
      <c r="AQ96" s="19"/>
      <c r="AR96" s="19"/>
      <c r="AS96" s="19"/>
      <c r="AT96" s="19"/>
      <c r="AU96" s="19"/>
      <c r="AV96" s="19">
        <v>1</v>
      </c>
      <c r="AW96" s="19"/>
      <c r="AY96" s="19"/>
      <c r="AZ96" s="20"/>
      <c r="BA96" s="19"/>
      <c r="BB96" s="19"/>
      <c r="BC96" s="19"/>
      <c r="BD96" s="19"/>
      <c r="BE96" s="19"/>
      <c r="BF96" s="19"/>
      <c r="BG96" s="19"/>
      <c r="BH96" s="20"/>
      <c r="BI96" s="19"/>
      <c r="BJ96" s="19"/>
      <c r="BK96" s="20"/>
      <c r="BL96" s="252">
        <v>2.1800000000000002</v>
      </c>
      <c r="BM96" s="244">
        <f t="shared" ref="BM96:BM98" si="69">ROUND((BL96*1.5+4)*10,0)/10</f>
        <v>7.3</v>
      </c>
      <c r="BN96" s="244">
        <f t="shared" ref="BN96:BN98" si="70">ROUND((BL96*1.5+10)*10,0)/10</f>
        <v>13.3</v>
      </c>
      <c r="BO96" s="244">
        <f t="shared" ref="BO96:BO98" si="71">ROUND(BN96/0.7*1.22,0)</f>
        <v>23</v>
      </c>
      <c r="BP96" s="82"/>
      <c r="BQ96" s="159"/>
      <c r="BR96" s="107"/>
      <c r="BS96" s="105"/>
      <c r="BT96" s="137"/>
      <c r="BU96" s="137"/>
      <c r="BV96" s="143"/>
      <c r="BW96" s="170"/>
      <c r="BX96" s="143"/>
      <c r="BY96" s="143"/>
      <c r="BZ96" s="203"/>
      <c r="CA96" s="143"/>
      <c r="CB96" s="143"/>
      <c r="CC96" s="203"/>
      <c r="CD96" s="203"/>
      <c r="CE96" s="143"/>
      <c r="CF96" s="203"/>
      <c r="CG96" s="143"/>
      <c r="CH96" s="181">
        <v>10</v>
      </c>
      <c r="CI96" s="143"/>
      <c r="CJ96" s="203"/>
      <c r="CK96" s="203">
        <v>10</v>
      </c>
      <c r="CL96" s="203"/>
      <c r="CM96" s="203"/>
      <c r="CN96" s="143"/>
      <c r="CO96" s="143"/>
      <c r="CP96" s="203"/>
      <c r="CQ96" s="143"/>
      <c r="CR96" s="203"/>
      <c r="CS96" s="143"/>
      <c r="CT96" s="300"/>
    </row>
    <row r="97" spans="1:98" x14ac:dyDescent="0.25">
      <c r="A97" s="127" t="s">
        <v>714</v>
      </c>
      <c r="B97" s="18" t="s">
        <v>715</v>
      </c>
      <c r="C97" s="205">
        <v>17170000014041</v>
      </c>
      <c r="D97" s="65" t="s">
        <v>28</v>
      </c>
      <c r="E97" s="65" t="s">
        <v>29</v>
      </c>
      <c r="F97" s="2" t="s">
        <v>64</v>
      </c>
      <c r="G97" s="71" t="s">
        <v>317</v>
      </c>
      <c r="H97" s="282" t="s">
        <v>748</v>
      </c>
      <c r="I97" s="46"/>
      <c r="J97" s="46"/>
      <c r="K97" s="88" t="s">
        <v>279</v>
      </c>
      <c r="L97" s="46"/>
      <c r="M97" s="19"/>
      <c r="N97" s="46"/>
      <c r="O97" s="46"/>
      <c r="P97" s="46"/>
      <c r="Q97" s="19"/>
      <c r="R97" s="19"/>
      <c r="S97" s="19"/>
      <c r="T97" s="20"/>
      <c r="U97" s="19"/>
      <c r="V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M97" s="46"/>
      <c r="AQ97" s="19"/>
      <c r="AR97" s="19"/>
      <c r="AS97" s="19"/>
      <c r="AT97" s="19"/>
      <c r="AU97" s="19"/>
      <c r="AV97" s="19"/>
      <c r="AW97" s="19"/>
      <c r="AX97" s="46">
        <v>1</v>
      </c>
      <c r="AY97" s="19"/>
      <c r="AZ97" s="20"/>
      <c r="BA97" s="19"/>
      <c r="BB97" s="19"/>
      <c r="BC97" s="19"/>
      <c r="BD97" s="19"/>
      <c r="BE97" s="19"/>
      <c r="BF97" s="19"/>
      <c r="BG97" s="19"/>
      <c r="BH97" s="20"/>
      <c r="BI97" s="19"/>
      <c r="BJ97" s="19"/>
      <c r="BK97" s="20"/>
      <c r="BL97" s="251">
        <v>1.4</v>
      </c>
      <c r="BM97" s="244">
        <f t="shared" si="69"/>
        <v>6.1</v>
      </c>
      <c r="BN97" s="244">
        <f t="shared" si="70"/>
        <v>12.1</v>
      </c>
      <c r="BO97" s="244">
        <f t="shared" si="71"/>
        <v>21</v>
      </c>
      <c r="BP97" s="82"/>
      <c r="BQ97" s="159"/>
      <c r="BR97" s="107"/>
      <c r="BS97" s="107"/>
      <c r="BT97" s="107"/>
      <c r="BU97" s="107"/>
      <c r="BV97" s="196"/>
      <c r="BW97" s="197"/>
      <c r="BX97" s="143"/>
      <c r="BY97" s="143"/>
      <c r="BZ97" s="203"/>
      <c r="CA97" s="143"/>
      <c r="CB97" s="143"/>
      <c r="CC97" s="203"/>
      <c r="CD97" s="203"/>
      <c r="CE97" s="143"/>
      <c r="CF97" s="203"/>
      <c r="CG97" s="143"/>
      <c r="CH97" s="143"/>
      <c r="CI97" s="181">
        <v>10</v>
      </c>
      <c r="CJ97" s="203"/>
      <c r="CK97" s="203"/>
      <c r="CL97" s="203"/>
      <c r="CM97" s="203">
        <v>10</v>
      </c>
      <c r="CN97" s="143"/>
      <c r="CO97" s="181">
        <v>5</v>
      </c>
      <c r="CP97" s="203">
        <v>5</v>
      </c>
      <c r="CQ97" s="143"/>
      <c r="CR97" s="203"/>
      <c r="CS97" s="143"/>
      <c r="CT97" s="300"/>
    </row>
    <row r="98" spans="1:98" x14ac:dyDescent="0.25">
      <c r="A98" s="127" t="s">
        <v>713</v>
      </c>
      <c r="B98" s="18" t="s">
        <v>716</v>
      </c>
      <c r="C98" s="203">
        <v>17170000034016</v>
      </c>
      <c r="D98" s="65" t="s">
        <v>28</v>
      </c>
      <c r="E98" s="65" t="s">
        <v>29</v>
      </c>
      <c r="F98" s="2" t="s">
        <v>64</v>
      </c>
      <c r="G98" s="71" t="s">
        <v>89</v>
      </c>
      <c r="H98" s="262" t="s">
        <v>718</v>
      </c>
      <c r="I98" s="46"/>
      <c r="J98" s="46"/>
      <c r="K98" s="88" t="s">
        <v>279</v>
      </c>
      <c r="L98" s="46"/>
      <c r="M98" s="19"/>
      <c r="N98" s="46"/>
      <c r="O98" s="46"/>
      <c r="P98" s="46"/>
      <c r="Q98" s="19"/>
      <c r="R98" s="19"/>
      <c r="S98" s="19"/>
      <c r="T98" s="20"/>
      <c r="U98" s="19"/>
      <c r="V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M98" s="46"/>
      <c r="AQ98" s="19"/>
      <c r="AR98" s="19"/>
      <c r="AS98" s="19"/>
      <c r="AT98" s="19"/>
      <c r="AU98" s="19">
        <v>1</v>
      </c>
      <c r="AV98" s="19">
        <v>1</v>
      </c>
      <c r="AW98" s="19"/>
      <c r="AY98" s="19"/>
      <c r="AZ98" s="20"/>
      <c r="BA98" s="19"/>
      <c r="BB98" s="19"/>
      <c r="BC98" s="19"/>
      <c r="BD98" s="19"/>
      <c r="BE98" s="19"/>
      <c r="BF98" s="19"/>
      <c r="BG98" s="19"/>
      <c r="BH98" s="20"/>
      <c r="BI98" s="19"/>
      <c r="BJ98" s="19"/>
      <c r="BK98" s="20"/>
      <c r="BL98" s="252">
        <v>6.18</v>
      </c>
      <c r="BM98" s="244">
        <f t="shared" si="69"/>
        <v>13.3</v>
      </c>
      <c r="BN98" s="244">
        <f t="shared" si="70"/>
        <v>19.3</v>
      </c>
      <c r="BO98" s="244">
        <f t="shared" si="71"/>
        <v>34</v>
      </c>
      <c r="BP98" s="82"/>
      <c r="BQ98" s="159"/>
      <c r="BR98" s="107"/>
      <c r="BS98" s="105"/>
      <c r="BT98" s="137"/>
      <c r="BU98" s="137"/>
      <c r="BV98" s="143"/>
      <c r="BW98" s="170"/>
      <c r="BX98" s="143"/>
      <c r="BY98" s="143"/>
      <c r="BZ98" s="203"/>
      <c r="CA98" s="143"/>
      <c r="CB98" s="143"/>
      <c r="CC98" s="203"/>
      <c r="CD98" s="203"/>
      <c r="CE98" s="143"/>
      <c r="CF98" s="203"/>
      <c r="CG98" s="143"/>
      <c r="CH98" s="181">
        <v>10</v>
      </c>
      <c r="CI98" s="143"/>
      <c r="CJ98" s="203">
        <v>10</v>
      </c>
      <c r="CK98" s="203"/>
      <c r="CL98" s="203"/>
      <c r="CM98" s="203"/>
      <c r="CN98" s="143"/>
      <c r="CO98" s="143"/>
      <c r="CP98" s="203"/>
      <c r="CQ98" s="303">
        <v>20</v>
      </c>
      <c r="CR98" s="203"/>
      <c r="CS98" s="304"/>
      <c r="CT98" s="300"/>
    </row>
    <row r="99" spans="1:98" x14ac:dyDescent="0.25">
      <c r="A99" s="127" t="s">
        <v>559</v>
      </c>
      <c r="B99" s="18" t="s">
        <v>558</v>
      </c>
      <c r="C99" s="203">
        <v>17170000032609</v>
      </c>
      <c r="D99" s="65" t="s">
        <v>28</v>
      </c>
      <c r="E99" s="65" t="s">
        <v>29</v>
      </c>
      <c r="F99" s="2" t="s">
        <v>86</v>
      </c>
      <c r="G99" s="168" t="s">
        <v>43</v>
      </c>
      <c r="H99" s="2" t="s">
        <v>557</v>
      </c>
      <c r="I99" s="46"/>
      <c r="J99" s="46"/>
      <c r="K99" s="88" t="s">
        <v>279</v>
      </c>
      <c r="L99" s="46"/>
      <c r="M99" s="19"/>
      <c r="N99" s="46"/>
      <c r="O99" s="46"/>
      <c r="P99" s="46"/>
      <c r="Q99" s="19"/>
      <c r="R99" s="19"/>
      <c r="S99" s="19"/>
      <c r="T99" s="20"/>
      <c r="U99" s="19"/>
      <c r="V99" s="19"/>
      <c r="X99" s="19"/>
      <c r="Y99" s="19"/>
      <c r="Z99" s="19"/>
      <c r="AA99" s="19"/>
      <c r="AB99" s="19">
        <v>1</v>
      </c>
      <c r="AC99" s="19">
        <v>1</v>
      </c>
      <c r="AD99" s="19"/>
      <c r="AE99" s="19"/>
      <c r="AF99" s="19"/>
      <c r="AG99" s="19"/>
      <c r="AH99" s="19"/>
      <c r="AI99" s="19"/>
      <c r="AJ99" s="19"/>
      <c r="AM99" s="46"/>
      <c r="AQ99" s="19"/>
      <c r="AR99" s="19"/>
      <c r="AS99" s="19"/>
      <c r="AT99" s="19"/>
      <c r="AU99" s="19"/>
      <c r="AV99" s="19"/>
      <c r="AW99" s="19"/>
      <c r="AY99" s="19"/>
      <c r="AZ99" s="20"/>
      <c r="BA99" s="19"/>
      <c r="BB99" s="19"/>
      <c r="BC99" s="19"/>
      <c r="BD99" s="19"/>
      <c r="BE99" s="19"/>
      <c r="BF99" s="19"/>
      <c r="BG99" s="19"/>
      <c r="BH99" s="20"/>
      <c r="BI99" s="19"/>
      <c r="BJ99" s="19"/>
      <c r="BK99" s="20"/>
      <c r="BL99" s="252">
        <v>0.62</v>
      </c>
      <c r="BM99" s="244">
        <f t="shared" si="63"/>
        <v>4.9000000000000004</v>
      </c>
      <c r="BN99" s="244">
        <f t="shared" si="64"/>
        <v>10.9</v>
      </c>
      <c r="BO99" s="244">
        <f t="shared" si="65"/>
        <v>19</v>
      </c>
      <c r="BP99" s="82">
        <v>0</v>
      </c>
      <c r="BQ99" s="159">
        <v>15</v>
      </c>
      <c r="BR99" s="107"/>
      <c r="BS99" s="105"/>
      <c r="BT99" s="137"/>
      <c r="BU99" s="137"/>
      <c r="BV99" s="143"/>
      <c r="BW99" s="170"/>
      <c r="BX99" s="143"/>
      <c r="BY99" s="143"/>
      <c r="BZ99" s="203"/>
      <c r="CA99" s="143"/>
      <c r="CB99" s="143"/>
      <c r="CC99" s="203"/>
      <c r="CD99" s="203">
        <v>15</v>
      </c>
      <c r="CE99" s="143"/>
      <c r="CF99" s="203"/>
      <c r="CG99" s="143"/>
      <c r="CH99" s="143"/>
      <c r="CI99" s="143"/>
      <c r="CJ99" s="203"/>
      <c r="CK99" s="203"/>
      <c r="CL99" s="203"/>
      <c r="CM99" s="203"/>
      <c r="CN99" s="143"/>
      <c r="CO99" s="143"/>
      <c r="CP99" s="203"/>
      <c r="CQ99" s="143"/>
      <c r="CR99" s="203"/>
      <c r="CS99" s="143">
        <v>10</v>
      </c>
      <c r="CT99" s="300"/>
    </row>
    <row r="100" spans="1:98" x14ac:dyDescent="0.25">
      <c r="A100" s="127" t="s">
        <v>523</v>
      </c>
      <c r="B100" s="18" t="s">
        <v>522</v>
      </c>
      <c r="C100" s="203">
        <v>17470000020099</v>
      </c>
      <c r="D100" s="65" t="s">
        <v>28</v>
      </c>
      <c r="E100" s="65" t="s">
        <v>29</v>
      </c>
      <c r="F100" s="2" t="s">
        <v>86</v>
      </c>
      <c r="G100" s="71" t="s">
        <v>42</v>
      </c>
      <c r="H100" s="2" t="s">
        <v>549</v>
      </c>
      <c r="I100" s="46"/>
      <c r="J100" s="46">
        <v>1</v>
      </c>
      <c r="K100" s="88" t="s">
        <v>279</v>
      </c>
      <c r="L100" s="46"/>
      <c r="M100" s="19"/>
      <c r="N100" s="46"/>
      <c r="O100" s="46"/>
      <c r="P100" s="46"/>
      <c r="Q100" s="19"/>
      <c r="R100" s="19"/>
      <c r="S100" s="19"/>
      <c r="T100" s="20"/>
      <c r="U100" s="19"/>
      <c r="V100" s="19"/>
      <c r="X100" s="19"/>
      <c r="Y100" s="19"/>
      <c r="Z100" s="19"/>
      <c r="AA100" s="19"/>
      <c r="AB100" s="19">
        <v>1</v>
      </c>
      <c r="AC100" s="19">
        <v>1</v>
      </c>
      <c r="AD100" s="19"/>
      <c r="AE100" s="19"/>
      <c r="AF100" s="19"/>
      <c r="AG100" s="19"/>
      <c r="AH100" s="19"/>
      <c r="AI100" s="19"/>
      <c r="AJ100" s="19"/>
      <c r="AM100" s="46"/>
      <c r="AQ100" s="19"/>
      <c r="AR100" s="19"/>
      <c r="AS100" s="19"/>
      <c r="AT100" s="19"/>
      <c r="AU100" s="19"/>
      <c r="AV100" s="19"/>
      <c r="AW100" s="19"/>
      <c r="AY100" s="19"/>
      <c r="AZ100" s="20"/>
      <c r="BA100" s="19"/>
      <c r="BB100" s="19"/>
      <c r="BC100" s="19"/>
      <c r="BD100" s="19"/>
      <c r="BE100" s="19"/>
      <c r="BF100" s="19"/>
      <c r="BG100" s="19"/>
      <c r="BH100" s="20"/>
      <c r="BI100" s="19"/>
      <c r="BJ100" s="19"/>
      <c r="BK100" s="20"/>
      <c r="BL100" s="252">
        <v>2.2000000000000002</v>
      </c>
      <c r="BM100" s="244">
        <f t="shared" si="63"/>
        <v>7.3</v>
      </c>
      <c r="BN100" s="244">
        <f t="shared" si="64"/>
        <v>13.3</v>
      </c>
      <c r="BO100" s="244">
        <f t="shared" si="65"/>
        <v>23</v>
      </c>
      <c r="BP100" s="82">
        <v>66</v>
      </c>
      <c r="BQ100" s="159">
        <v>134</v>
      </c>
      <c r="BR100" s="107"/>
      <c r="BS100" s="105"/>
      <c r="BT100" s="137"/>
      <c r="BU100" s="137"/>
      <c r="BV100" s="143"/>
      <c r="BW100" s="170"/>
      <c r="BX100" s="143"/>
      <c r="BY100" s="181">
        <v>35</v>
      </c>
      <c r="BZ100" s="203">
        <v>35</v>
      </c>
      <c r="CA100" s="143"/>
      <c r="CB100" s="181">
        <v>35</v>
      </c>
      <c r="CC100" s="203"/>
      <c r="CD100" s="203">
        <v>35</v>
      </c>
      <c r="CE100" s="181">
        <v>130</v>
      </c>
      <c r="CF100" s="203">
        <v>130</v>
      </c>
      <c r="CG100" s="143"/>
      <c r="CH100" s="143"/>
      <c r="CI100" s="143"/>
      <c r="CJ100" s="203"/>
      <c r="CK100" s="203"/>
      <c r="CL100" s="203"/>
      <c r="CM100" s="203"/>
      <c r="CN100" s="181">
        <v>40</v>
      </c>
      <c r="CO100" s="143"/>
      <c r="CP100" s="203">
        <v>40</v>
      </c>
      <c r="CQ100" s="143"/>
      <c r="CR100" s="203"/>
      <c r="CS100" s="143"/>
      <c r="CT100" s="300"/>
    </row>
    <row r="101" spans="1:98" x14ac:dyDescent="0.25">
      <c r="A101" s="24" t="s">
        <v>83</v>
      </c>
      <c r="B101" s="18" t="s">
        <v>249</v>
      </c>
      <c r="C101" s="203" t="s">
        <v>398</v>
      </c>
      <c r="D101" s="65" t="s">
        <v>28</v>
      </c>
      <c r="E101" s="65" t="s">
        <v>29</v>
      </c>
      <c r="F101" s="2" t="s">
        <v>86</v>
      </c>
      <c r="G101" s="71" t="s">
        <v>30</v>
      </c>
      <c r="H101" s="2" t="s">
        <v>181</v>
      </c>
      <c r="I101" s="46" t="s">
        <v>452</v>
      </c>
      <c r="J101" s="46">
        <v>1</v>
      </c>
      <c r="K101" s="88" t="s">
        <v>280</v>
      </c>
      <c r="L101" s="46">
        <v>1</v>
      </c>
      <c r="M101" s="19">
        <v>1</v>
      </c>
      <c r="N101" s="78">
        <v>1</v>
      </c>
      <c r="O101" s="78">
        <v>1</v>
      </c>
      <c r="P101" s="78">
        <v>1</v>
      </c>
      <c r="Q101" s="19"/>
      <c r="R101" s="19"/>
      <c r="S101" s="19">
        <v>1</v>
      </c>
      <c r="T101" s="20">
        <v>1</v>
      </c>
      <c r="U101" s="19"/>
      <c r="V101" s="19"/>
      <c r="X101" s="19">
        <v>1</v>
      </c>
      <c r="Y101" s="19">
        <v>1</v>
      </c>
      <c r="Z101" s="19">
        <v>1</v>
      </c>
      <c r="AA101" s="19">
        <v>1</v>
      </c>
      <c r="AB101" s="19"/>
      <c r="AC101" s="19"/>
      <c r="AD101" s="19"/>
      <c r="AE101" s="19">
        <v>1</v>
      </c>
      <c r="AF101" s="19">
        <v>1</v>
      </c>
      <c r="AG101" s="19">
        <v>1</v>
      </c>
      <c r="AH101" s="19">
        <v>1</v>
      </c>
      <c r="AI101" s="19">
        <v>1</v>
      </c>
      <c r="AJ101" s="46" t="s">
        <v>755</v>
      </c>
      <c r="AK101" s="46">
        <v>1</v>
      </c>
      <c r="AL101" s="46">
        <v>1</v>
      </c>
      <c r="AM101" s="46">
        <v>1</v>
      </c>
      <c r="AN101" s="46">
        <v>1</v>
      </c>
      <c r="AO101" s="46">
        <v>1</v>
      </c>
      <c r="AP101" s="46">
        <v>1</v>
      </c>
      <c r="AQ101" s="19">
        <v>1</v>
      </c>
      <c r="AR101" s="19">
        <v>1</v>
      </c>
      <c r="AS101" s="19">
        <v>1</v>
      </c>
      <c r="AT101" s="19">
        <v>1</v>
      </c>
      <c r="AU101" s="19"/>
      <c r="AV101" s="19"/>
      <c r="AW101" s="19"/>
      <c r="AY101" s="19"/>
      <c r="AZ101" s="20"/>
      <c r="BA101" s="19"/>
      <c r="BB101" s="19"/>
      <c r="BC101" s="19"/>
      <c r="BD101" s="27">
        <v>1</v>
      </c>
      <c r="BE101" s="19"/>
      <c r="BF101" s="19"/>
      <c r="BG101" s="27">
        <v>1</v>
      </c>
      <c r="BH101" s="20"/>
      <c r="BI101" s="19"/>
      <c r="BJ101" s="19"/>
      <c r="BK101" s="20"/>
      <c r="BL101" s="251">
        <v>3.99</v>
      </c>
      <c r="BM101" s="244">
        <f t="shared" si="63"/>
        <v>10</v>
      </c>
      <c r="BN101" s="244">
        <f t="shared" si="64"/>
        <v>16</v>
      </c>
      <c r="BO101" s="244">
        <f t="shared" si="65"/>
        <v>28</v>
      </c>
      <c r="BP101" s="82">
        <v>1037</v>
      </c>
      <c r="BQ101" s="159">
        <v>176</v>
      </c>
      <c r="BR101" s="119" t="s">
        <v>300</v>
      </c>
      <c r="BS101" s="105"/>
      <c r="BT101" s="119">
        <v>98</v>
      </c>
      <c r="BU101" s="119">
        <v>357</v>
      </c>
      <c r="BV101" s="178">
        <v>220</v>
      </c>
      <c r="BW101" s="182" t="s">
        <v>493</v>
      </c>
      <c r="BX101" s="181">
        <v>180</v>
      </c>
      <c r="BY101" s="143"/>
      <c r="BZ101" s="203"/>
      <c r="CA101" s="143"/>
      <c r="CB101" s="143"/>
      <c r="CC101" s="203"/>
      <c r="CD101" s="203"/>
      <c r="CE101" s="181">
        <v>30</v>
      </c>
      <c r="CF101" s="203">
        <v>30</v>
      </c>
      <c r="CG101" s="143"/>
      <c r="CH101" s="181">
        <v>150</v>
      </c>
      <c r="CI101" s="143"/>
      <c r="CJ101" s="203">
        <v>100</v>
      </c>
      <c r="CK101" s="203"/>
      <c r="CL101" s="203">
        <v>50</v>
      </c>
      <c r="CM101" s="203"/>
      <c r="CN101" s="143"/>
      <c r="CO101" s="143"/>
      <c r="CP101" s="203"/>
      <c r="CQ101" s="143">
        <v>70</v>
      </c>
      <c r="CR101" s="203">
        <v>70</v>
      </c>
      <c r="CS101" s="143">
        <v>30</v>
      </c>
      <c r="CT101" s="300"/>
    </row>
    <row r="102" spans="1:98" x14ac:dyDescent="0.25">
      <c r="A102" s="24" t="s">
        <v>84</v>
      </c>
      <c r="B102" s="18" t="s">
        <v>250</v>
      </c>
      <c r="C102" s="203">
        <v>17470000010503</v>
      </c>
      <c r="D102" s="65" t="s">
        <v>28</v>
      </c>
      <c r="E102" s="65" t="s">
        <v>29</v>
      </c>
      <c r="F102" s="2" t="s">
        <v>86</v>
      </c>
      <c r="G102" s="71" t="s">
        <v>31</v>
      </c>
      <c r="H102" s="2" t="s">
        <v>182</v>
      </c>
      <c r="I102" s="46" t="s">
        <v>453</v>
      </c>
      <c r="J102" s="46">
        <v>1</v>
      </c>
      <c r="K102" s="88" t="s">
        <v>280</v>
      </c>
      <c r="L102" s="46"/>
      <c r="M102" s="19"/>
      <c r="N102" s="46"/>
      <c r="O102" s="46"/>
      <c r="P102" s="46"/>
      <c r="Q102" s="19"/>
      <c r="R102" s="19"/>
      <c r="S102" s="19"/>
      <c r="T102" s="20"/>
      <c r="U102" s="19"/>
      <c r="V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M102" s="46"/>
      <c r="AQ102" s="19"/>
      <c r="AR102" s="19"/>
      <c r="AS102" s="19"/>
      <c r="AT102" s="19"/>
      <c r="AU102" s="19"/>
      <c r="AV102" s="19"/>
      <c r="AW102" s="19"/>
      <c r="AY102" s="19"/>
      <c r="AZ102" s="20"/>
      <c r="BA102" s="27">
        <v>1</v>
      </c>
      <c r="BB102" s="27">
        <v>1</v>
      </c>
      <c r="BC102" s="27">
        <v>1</v>
      </c>
      <c r="BD102" s="27">
        <v>1</v>
      </c>
      <c r="BE102" s="27">
        <v>1</v>
      </c>
      <c r="BF102" s="19"/>
      <c r="BG102" s="27">
        <v>1</v>
      </c>
      <c r="BH102" s="20"/>
      <c r="BI102" s="19"/>
      <c r="BJ102" s="19"/>
      <c r="BK102" s="20"/>
      <c r="BL102" s="251">
        <v>3.99</v>
      </c>
      <c r="BM102" s="244">
        <f t="shared" si="63"/>
        <v>10</v>
      </c>
      <c r="BN102" s="244">
        <f t="shared" si="64"/>
        <v>16</v>
      </c>
      <c r="BO102" s="244">
        <f t="shared" si="65"/>
        <v>28</v>
      </c>
      <c r="BP102" s="82">
        <v>151</v>
      </c>
      <c r="BQ102" s="159">
        <v>10</v>
      </c>
      <c r="BR102" s="119" t="s">
        <v>331</v>
      </c>
      <c r="BS102" s="119">
        <v>9</v>
      </c>
      <c r="BT102" s="119">
        <v>28</v>
      </c>
      <c r="BU102" s="119" t="s">
        <v>498</v>
      </c>
      <c r="BV102" s="143"/>
      <c r="BW102" s="182">
        <v>20</v>
      </c>
      <c r="BX102" s="181">
        <v>15</v>
      </c>
      <c r="BY102" s="143"/>
      <c r="BZ102" s="203"/>
      <c r="CA102" s="143"/>
      <c r="CB102" s="181">
        <v>5</v>
      </c>
      <c r="CC102" s="203"/>
      <c r="CD102" s="203">
        <v>5</v>
      </c>
      <c r="CE102" s="181">
        <v>5</v>
      </c>
      <c r="CF102" s="203">
        <v>5</v>
      </c>
      <c r="CG102" s="143"/>
      <c r="CH102" s="181">
        <v>5</v>
      </c>
      <c r="CI102" s="143"/>
      <c r="CJ102" s="203">
        <v>5</v>
      </c>
      <c r="CK102" s="203"/>
      <c r="CL102" s="203"/>
      <c r="CM102" s="203"/>
      <c r="CN102" s="181">
        <v>5</v>
      </c>
      <c r="CO102" s="143"/>
      <c r="CP102" s="203">
        <v>5</v>
      </c>
      <c r="CQ102" s="143">
        <v>5</v>
      </c>
      <c r="CR102" s="203">
        <v>5</v>
      </c>
      <c r="CS102" s="143"/>
      <c r="CT102" s="300"/>
    </row>
    <row r="103" spans="1:98" x14ac:dyDescent="0.25">
      <c r="A103" s="51" t="s">
        <v>83</v>
      </c>
      <c r="B103" s="35" t="s">
        <v>365</v>
      </c>
      <c r="C103" s="208">
        <v>17470000006923</v>
      </c>
      <c r="D103" s="67" t="s">
        <v>28</v>
      </c>
      <c r="E103" s="67" t="s">
        <v>29</v>
      </c>
      <c r="F103" s="15" t="s">
        <v>86</v>
      </c>
      <c r="G103" s="141" t="s">
        <v>32</v>
      </c>
      <c r="H103" s="103" t="s">
        <v>370</v>
      </c>
      <c r="I103" s="49" t="s">
        <v>454</v>
      </c>
      <c r="J103" s="49">
        <v>1</v>
      </c>
      <c r="K103" s="90" t="s">
        <v>280</v>
      </c>
      <c r="L103" s="49"/>
      <c r="M103" s="30"/>
      <c r="N103" s="49"/>
      <c r="O103" s="49"/>
      <c r="P103" s="49"/>
      <c r="Q103" s="30">
        <v>1</v>
      </c>
      <c r="R103" s="30">
        <v>1</v>
      </c>
      <c r="S103" s="30"/>
      <c r="T103" s="31"/>
      <c r="U103" s="30">
        <v>1</v>
      </c>
      <c r="V103" s="30">
        <v>1</v>
      </c>
      <c r="W103" s="49">
        <v>1</v>
      </c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274"/>
      <c r="AL103" s="274"/>
      <c r="AM103" s="49"/>
      <c r="AN103" s="274"/>
      <c r="AO103" s="274"/>
      <c r="AP103" s="274"/>
      <c r="AQ103" s="30"/>
      <c r="AR103" s="30"/>
      <c r="AS103" s="30"/>
      <c r="AT103" s="30"/>
      <c r="AU103" s="30"/>
      <c r="AV103" s="30"/>
      <c r="AW103" s="30"/>
      <c r="AX103" s="274"/>
      <c r="AY103" s="30"/>
      <c r="AZ103" s="31"/>
      <c r="BA103" s="30"/>
      <c r="BB103" s="30"/>
      <c r="BC103" s="30"/>
      <c r="BD103" s="30"/>
      <c r="BE103" s="30"/>
      <c r="BF103" s="30"/>
      <c r="BG103" s="30"/>
      <c r="BH103" s="31"/>
      <c r="BI103" s="30"/>
      <c r="BJ103" s="30"/>
      <c r="BK103" s="31"/>
      <c r="BL103" s="254">
        <v>3.07</v>
      </c>
      <c r="BM103" s="244">
        <f t="shared" si="63"/>
        <v>8.6</v>
      </c>
      <c r="BN103" s="244">
        <f t="shared" si="64"/>
        <v>14.6</v>
      </c>
      <c r="BO103" s="244">
        <f t="shared" si="65"/>
        <v>25</v>
      </c>
      <c r="BP103" s="82">
        <v>38</v>
      </c>
      <c r="BQ103" s="159">
        <v>18</v>
      </c>
      <c r="BR103" s="109"/>
      <c r="BS103" s="109"/>
      <c r="BT103" s="109"/>
      <c r="BU103" s="121">
        <v>22</v>
      </c>
      <c r="BV103" s="183">
        <v>9</v>
      </c>
      <c r="BW103" s="171"/>
      <c r="BX103" s="144"/>
      <c r="BY103" s="144"/>
      <c r="BZ103" s="208"/>
      <c r="CA103" s="183">
        <v>25</v>
      </c>
      <c r="CB103" s="144"/>
      <c r="CC103" s="208"/>
      <c r="CD103" s="208">
        <v>25</v>
      </c>
      <c r="CE103" s="144"/>
      <c r="CF103" s="208"/>
      <c r="CG103" s="144"/>
      <c r="CH103" s="183">
        <v>15</v>
      </c>
      <c r="CI103" s="144"/>
      <c r="CJ103" s="208">
        <v>15</v>
      </c>
      <c r="CK103" s="208"/>
      <c r="CL103" s="208"/>
      <c r="CM103" s="208"/>
      <c r="CN103" s="144"/>
      <c r="CO103" s="144"/>
      <c r="CP103" s="208"/>
      <c r="CQ103" s="144">
        <v>5</v>
      </c>
      <c r="CR103" s="208">
        <v>5</v>
      </c>
      <c r="CS103" s="144">
        <v>10</v>
      </c>
      <c r="CT103" s="300"/>
    </row>
    <row r="104" spans="1:98" x14ac:dyDescent="0.25">
      <c r="A104" s="100" t="s">
        <v>311</v>
      </c>
      <c r="B104" s="97" t="s">
        <v>310</v>
      </c>
      <c r="C104" s="209" t="s">
        <v>341</v>
      </c>
      <c r="D104" s="65" t="s">
        <v>28</v>
      </c>
      <c r="E104" s="65" t="s">
        <v>29</v>
      </c>
      <c r="F104" s="2" t="s">
        <v>50</v>
      </c>
      <c r="G104" s="71" t="s">
        <v>30</v>
      </c>
      <c r="H104" s="2" t="s">
        <v>183</v>
      </c>
      <c r="I104" s="46" t="s">
        <v>455</v>
      </c>
      <c r="J104" s="46">
        <v>1</v>
      </c>
      <c r="K104" s="88" t="s">
        <v>281</v>
      </c>
      <c r="L104" s="46">
        <v>1</v>
      </c>
      <c r="M104" s="19">
        <v>1</v>
      </c>
      <c r="N104" s="78">
        <v>1</v>
      </c>
      <c r="O104" s="78">
        <v>1</v>
      </c>
      <c r="P104" s="78">
        <v>1</v>
      </c>
      <c r="Q104" s="19">
        <v>1</v>
      </c>
      <c r="R104" s="19">
        <v>1</v>
      </c>
      <c r="S104" s="19">
        <v>1</v>
      </c>
      <c r="T104" s="20">
        <v>1</v>
      </c>
      <c r="U104" s="19"/>
      <c r="V104" s="19"/>
      <c r="X104" s="19">
        <v>1</v>
      </c>
      <c r="Y104" s="19">
        <v>1</v>
      </c>
      <c r="Z104" s="19">
        <v>1</v>
      </c>
      <c r="AA104" s="19"/>
      <c r="AB104" s="19"/>
      <c r="AC104" s="19"/>
      <c r="AD104" s="19">
        <v>1</v>
      </c>
      <c r="AE104" s="19"/>
      <c r="AF104" s="19"/>
      <c r="AG104" s="19"/>
      <c r="AH104" s="19"/>
      <c r="AI104" s="19"/>
      <c r="AJ104" s="19"/>
      <c r="AM104" s="46"/>
      <c r="AQ104" s="19"/>
      <c r="AR104" s="19"/>
      <c r="AS104" s="19"/>
      <c r="AT104" s="19"/>
      <c r="AU104" s="19"/>
      <c r="AV104" s="19"/>
      <c r="AW104" s="19">
        <v>1</v>
      </c>
      <c r="AY104" s="19">
        <v>1</v>
      </c>
      <c r="AZ104" s="20">
        <v>1</v>
      </c>
      <c r="BA104" s="19">
        <v>1</v>
      </c>
      <c r="BB104" s="19">
        <v>1</v>
      </c>
      <c r="BC104" s="19">
        <v>1</v>
      </c>
      <c r="BD104" s="19"/>
      <c r="BE104" s="19">
        <v>1</v>
      </c>
      <c r="BF104" s="19">
        <v>1</v>
      </c>
      <c r="BG104" s="19"/>
      <c r="BH104" s="20">
        <v>1</v>
      </c>
      <c r="BI104" s="19">
        <v>1</v>
      </c>
      <c r="BJ104" s="19">
        <v>1</v>
      </c>
      <c r="BK104" s="20">
        <v>1</v>
      </c>
      <c r="BL104" s="252">
        <v>0.39</v>
      </c>
      <c r="BM104" s="244">
        <f t="shared" si="63"/>
        <v>4.5999999999999996</v>
      </c>
      <c r="BN104" s="244">
        <f t="shared" si="64"/>
        <v>10.6</v>
      </c>
      <c r="BO104" s="244">
        <f t="shared" si="65"/>
        <v>18</v>
      </c>
      <c r="BP104" s="82">
        <v>115</v>
      </c>
      <c r="BQ104" s="159">
        <v>34</v>
      </c>
      <c r="BR104" s="106">
        <v>19</v>
      </c>
      <c r="BS104" s="119">
        <v>26</v>
      </c>
      <c r="BT104" s="119">
        <v>17</v>
      </c>
      <c r="BU104" s="119">
        <v>24</v>
      </c>
      <c r="BV104" s="178">
        <v>11</v>
      </c>
      <c r="BW104" s="182">
        <v>20</v>
      </c>
      <c r="BX104" s="181">
        <v>10</v>
      </c>
      <c r="BY104" s="181">
        <v>10</v>
      </c>
      <c r="BZ104" s="203">
        <v>10</v>
      </c>
      <c r="CA104" s="181">
        <v>10</v>
      </c>
      <c r="CB104" s="143"/>
      <c r="CC104" s="203"/>
      <c r="CD104" s="203">
        <v>10</v>
      </c>
      <c r="CE104" s="143"/>
      <c r="CF104" s="203"/>
      <c r="CG104" s="143"/>
      <c r="CH104" s="143"/>
      <c r="CI104" s="143"/>
      <c r="CJ104" s="203"/>
      <c r="CK104" s="203"/>
      <c r="CL104" s="203"/>
      <c r="CM104" s="203"/>
      <c r="CN104" s="143"/>
      <c r="CO104" s="143"/>
      <c r="CP104" s="203"/>
      <c r="CQ104" s="143"/>
      <c r="CR104" s="203"/>
      <c r="CS104" s="143"/>
      <c r="CT104" s="300"/>
    </row>
    <row r="105" spans="1:98" x14ac:dyDescent="0.25">
      <c r="A105" s="198" t="s">
        <v>403</v>
      </c>
      <c r="B105" s="18" t="s">
        <v>402</v>
      </c>
      <c r="C105" s="205">
        <v>17470000013692</v>
      </c>
      <c r="D105" s="65" t="s">
        <v>28</v>
      </c>
      <c r="E105" s="65" t="s">
        <v>29</v>
      </c>
      <c r="F105" s="2" t="s">
        <v>50</v>
      </c>
      <c r="G105" s="168" t="s">
        <v>32</v>
      </c>
      <c r="H105" s="2" t="s">
        <v>401</v>
      </c>
      <c r="I105" s="46"/>
      <c r="J105" s="46">
        <v>1</v>
      </c>
      <c r="K105" s="88" t="s">
        <v>281</v>
      </c>
      <c r="L105" s="46">
        <v>1</v>
      </c>
      <c r="M105" s="19">
        <v>1</v>
      </c>
      <c r="N105" s="46">
        <v>1</v>
      </c>
      <c r="O105" s="46">
        <v>1</v>
      </c>
      <c r="P105" s="46">
        <v>1</v>
      </c>
      <c r="Q105" s="19">
        <v>1</v>
      </c>
      <c r="R105" s="19">
        <v>1</v>
      </c>
      <c r="S105" s="19">
        <v>1</v>
      </c>
      <c r="T105" s="20">
        <v>1</v>
      </c>
      <c r="U105" s="19"/>
      <c r="V105" s="19"/>
      <c r="X105" s="19">
        <v>1</v>
      </c>
      <c r="Y105" s="19">
        <v>1</v>
      </c>
      <c r="Z105" s="76">
        <v>1</v>
      </c>
      <c r="AA105" s="76">
        <v>1</v>
      </c>
      <c r="AB105" s="19"/>
      <c r="AC105" s="19"/>
      <c r="AD105" s="19">
        <v>1</v>
      </c>
      <c r="AE105" s="19"/>
      <c r="AF105" s="19"/>
      <c r="AG105" s="19"/>
      <c r="AH105" s="19"/>
      <c r="AI105" s="19"/>
      <c r="AJ105" s="19"/>
      <c r="AM105" s="46"/>
      <c r="AQ105" s="19"/>
      <c r="AR105" s="19"/>
      <c r="AS105" s="19"/>
      <c r="AT105" s="19"/>
      <c r="AU105" s="19"/>
      <c r="AV105" s="19"/>
      <c r="AW105" s="19">
        <v>1</v>
      </c>
      <c r="AY105" s="19">
        <v>1</v>
      </c>
      <c r="AZ105" s="20">
        <v>1</v>
      </c>
      <c r="BA105" s="19">
        <v>1</v>
      </c>
      <c r="BB105" s="19">
        <v>1</v>
      </c>
      <c r="BC105" s="19">
        <v>1</v>
      </c>
      <c r="BD105" s="19"/>
      <c r="BE105" s="19">
        <v>1</v>
      </c>
      <c r="BF105" s="19">
        <v>1</v>
      </c>
      <c r="BG105" s="19"/>
      <c r="BH105" s="20">
        <v>1</v>
      </c>
      <c r="BI105" s="19">
        <v>1</v>
      </c>
      <c r="BJ105" s="19">
        <v>1</v>
      </c>
      <c r="BK105" s="20">
        <v>1</v>
      </c>
      <c r="BL105" s="252">
        <v>1.55</v>
      </c>
      <c r="BM105" s="244">
        <f t="shared" si="63"/>
        <v>6.3</v>
      </c>
      <c r="BN105" s="244">
        <f t="shared" si="64"/>
        <v>12.3</v>
      </c>
      <c r="BO105" s="244">
        <f t="shared" si="65"/>
        <v>21</v>
      </c>
      <c r="BP105" s="82">
        <v>5</v>
      </c>
      <c r="BQ105" s="159">
        <v>19</v>
      </c>
      <c r="BR105" s="106"/>
      <c r="BS105" s="107"/>
      <c r="BT105" s="107"/>
      <c r="BU105" s="107"/>
      <c r="BV105" s="143"/>
      <c r="BW105" s="182">
        <v>19</v>
      </c>
      <c r="BX105" s="181">
        <v>5</v>
      </c>
      <c r="BY105" s="143"/>
      <c r="BZ105" s="203"/>
      <c r="CA105" s="143"/>
      <c r="CB105" s="143"/>
      <c r="CC105" s="203"/>
      <c r="CD105" s="203"/>
      <c r="CE105" s="143"/>
      <c r="CF105" s="203"/>
      <c r="CG105" s="143"/>
      <c r="CH105" s="143"/>
      <c r="CI105" s="143"/>
      <c r="CJ105" s="203"/>
      <c r="CK105" s="203"/>
      <c r="CL105" s="203"/>
      <c r="CM105" s="203"/>
      <c r="CN105" s="143"/>
      <c r="CO105" s="143"/>
      <c r="CP105" s="203"/>
      <c r="CQ105" s="143">
        <v>5</v>
      </c>
      <c r="CR105" s="203">
        <v>5</v>
      </c>
      <c r="CS105" s="143"/>
      <c r="CT105" s="300"/>
    </row>
    <row r="106" spans="1:98" x14ac:dyDescent="0.25">
      <c r="A106" s="127" t="s">
        <v>521</v>
      </c>
      <c r="B106" s="18" t="s">
        <v>520</v>
      </c>
      <c r="C106" s="205">
        <v>17470000017698</v>
      </c>
      <c r="D106" s="65" t="s">
        <v>28</v>
      </c>
      <c r="E106" s="65" t="s">
        <v>29</v>
      </c>
      <c r="F106" s="2" t="s">
        <v>50</v>
      </c>
      <c r="G106" s="168" t="s">
        <v>38</v>
      </c>
      <c r="H106" s="2" t="s">
        <v>545</v>
      </c>
      <c r="I106" s="46"/>
      <c r="J106" s="46">
        <v>1</v>
      </c>
      <c r="K106" s="88" t="s">
        <v>281</v>
      </c>
      <c r="L106" s="46"/>
      <c r="M106" s="19"/>
      <c r="N106" s="46"/>
      <c r="O106" s="46"/>
      <c r="P106" s="46"/>
      <c r="Q106" s="19"/>
      <c r="R106" s="19"/>
      <c r="S106" s="19"/>
      <c r="T106" s="20"/>
      <c r="U106" s="19"/>
      <c r="V106" s="19"/>
      <c r="X106" s="19"/>
      <c r="Y106" s="19"/>
      <c r="Z106" s="279">
        <v>1</v>
      </c>
      <c r="AA106" s="279">
        <v>1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M106" s="46"/>
      <c r="AQ106" s="19"/>
      <c r="AR106" s="19"/>
      <c r="AS106" s="19"/>
      <c r="AT106" s="19"/>
      <c r="AU106" s="19"/>
      <c r="AV106" s="19"/>
      <c r="AW106" s="19"/>
      <c r="AY106" s="19"/>
      <c r="AZ106" s="20"/>
      <c r="BA106" s="19"/>
      <c r="BB106" s="19"/>
      <c r="BC106" s="19"/>
      <c r="BD106" s="19"/>
      <c r="BE106" s="19"/>
      <c r="BF106" s="19"/>
      <c r="BG106" s="19"/>
      <c r="BH106" s="20"/>
      <c r="BI106" s="19"/>
      <c r="BJ106" s="19"/>
      <c r="BK106" s="20"/>
      <c r="BL106" s="252">
        <v>1.7</v>
      </c>
      <c r="BM106" s="244">
        <f t="shared" si="63"/>
        <v>6.6</v>
      </c>
      <c r="BN106" s="244">
        <f t="shared" si="64"/>
        <v>12.6</v>
      </c>
      <c r="BO106" s="244">
        <f t="shared" si="65"/>
        <v>22</v>
      </c>
      <c r="BP106" s="82">
        <v>1</v>
      </c>
      <c r="BQ106" s="159">
        <v>12</v>
      </c>
      <c r="BR106" s="106"/>
      <c r="BS106" s="107"/>
      <c r="BT106" s="107"/>
      <c r="BU106" s="107"/>
      <c r="BV106" s="143"/>
      <c r="BW106" s="197"/>
      <c r="BX106" s="143"/>
      <c r="BY106" s="181">
        <v>5</v>
      </c>
      <c r="BZ106" s="203">
        <v>5</v>
      </c>
      <c r="CA106" s="143"/>
      <c r="CB106" s="143"/>
      <c r="CC106" s="203"/>
      <c r="CD106" s="203"/>
      <c r="CE106" s="181">
        <v>8</v>
      </c>
      <c r="CF106" s="203">
        <v>8</v>
      </c>
      <c r="CG106" s="143"/>
      <c r="CH106" s="143"/>
      <c r="CI106" s="143"/>
      <c r="CJ106" s="203"/>
      <c r="CK106" s="203"/>
      <c r="CL106" s="203"/>
      <c r="CM106" s="203"/>
      <c r="CN106" s="143"/>
      <c r="CO106" s="143"/>
      <c r="CP106" s="203"/>
      <c r="CQ106" s="143"/>
      <c r="CR106" s="203"/>
      <c r="CS106" s="143"/>
      <c r="CT106" s="300"/>
    </row>
    <row r="107" spans="1:98" x14ac:dyDescent="0.25">
      <c r="A107" s="127" t="s">
        <v>521</v>
      </c>
      <c r="B107" s="18" t="s">
        <v>520</v>
      </c>
      <c r="C107" s="205">
        <v>17470000018558</v>
      </c>
      <c r="D107" s="65" t="s">
        <v>28</v>
      </c>
      <c r="E107" s="65" t="s">
        <v>29</v>
      </c>
      <c r="F107" s="2" t="s">
        <v>50</v>
      </c>
      <c r="G107" s="168" t="s">
        <v>37</v>
      </c>
      <c r="H107" s="2" t="s">
        <v>519</v>
      </c>
      <c r="I107" s="46"/>
      <c r="J107" s="46">
        <v>1</v>
      </c>
      <c r="K107" s="88" t="s">
        <v>281</v>
      </c>
      <c r="L107" s="46"/>
      <c r="M107" s="19"/>
      <c r="N107" s="46"/>
      <c r="O107" s="46"/>
      <c r="P107" s="46"/>
      <c r="Q107" s="19"/>
      <c r="R107" s="19"/>
      <c r="S107" s="19"/>
      <c r="T107" s="20"/>
      <c r="U107" s="19">
        <v>1</v>
      </c>
      <c r="V107" s="19">
        <v>1</v>
      </c>
      <c r="W107" s="46">
        <v>1</v>
      </c>
      <c r="X107" s="19"/>
      <c r="Y107" s="19"/>
      <c r="Z107" s="19"/>
      <c r="AA107" s="19"/>
      <c r="AB107" s="19">
        <v>1</v>
      </c>
      <c r="AC107" s="19">
        <v>1</v>
      </c>
      <c r="AD107" s="19"/>
      <c r="AE107" s="19">
        <v>1</v>
      </c>
      <c r="AF107" s="19">
        <v>1</v>
      </c>
      <c r="AG107" s="19">
        <v>1</v>
      </c>
      <c r="AH107" s="19">
        <v>1</v>
      </c>
      <c r="AI107" s="19">
        <v>1</v>
      </c>
      <c r="AJ107" s="46" t="s">
        <v>755</v>
      </c>
      <c r="AK107" s="46">
        <v>1</v>
      </c>
      <c r="AL107" s="46">
        <v>1</v>
      </c>
      <c r="AM107" s="46">
        <v>1</v>
      </c>
      <c r="AN107" s="46">
        <v>1</v>
      </c>
      <c r="AO107" s="46">
        <v>1</v>
      </c>
      <c r="AP107" s="46">
        <v>1</v>
      </c>
      <c r="AQ107" s="19">
        <v>1</v>
      </c>
      <c r="AR107" s="19">
        <v>1</v>
      </c>
      <c r="AS107" s="19">
        <v>1</v>
      </c>
      <c r="AT107" s="19">
        <v>1</v>
      </c>
      <c r="AU107" s="19">
        <v>1</v>
      </c>
      <c r="AV107" s="19">
        <v>1</v>
      </c>
      <c r="AW107" s="19"/>
      <c r="AX107" s="46">
        <v>1</v>
      </c>
      <c r="AY107" s="19"/>
      <c r="AZ107" s="20"/>
      <c r="BA107" s="19"/>
      <c r="BB107" s="19"/>
      <c r="BC107" s="19"/>
      <c r="BD107" s="19">
        <v>1</v>
      </c>
      <c r="BE107" s="19"/>
      <c r="BF107" s="19"/>
      <c r="BG107" s="19">
        <v>1</v>
      </c>
      <c r="BH107" s="20"/>
      <c r="BI107" s="19"/>
      <c r="BJ107" s="19"/>
      <c r="BK107" s="20"/>
      <c r="BL107" s="252">
        <v>0.71</v>
      </c>
      <c r="BM107" s="244">
        <f t="shared" si="63"/>
        <v>5.0999999999999996</v>
      </c>
      <c r="BN107" s="244">
        <f t="shared" si="64"/>
        <v>11.1</v>
      </c>
      <c r="BO107" s="244">
        <f t="shared" si="65"/>
        <v>19</v>
      </c>
      <c r="BP107" s="82">
        <v>4</v>
      </c>
      <c r="BQ107" s="159">
        <v>26</v>
      </c>
      <c r="BR107" s="106"/>
      <c r="BS107" s="107"/>
      <c r="BT107" s="107"/>
      <c r="BU107" s="107"/>
      <c r="BV107" s="143"/>
      <c r="BW107" s="197"/>
      <c r="BX107" s="143"/>
      <c r="BY107" s="181">
        <v>7</v>
      </c>
      <c r="BZ107" s="203">
        <v>7</v>
      </c>
      <c r="CA107" s="143"/>
      <c r="CB107" s="181">
        <v>11</v>
      </c>
      <c r="CC107" s="203"/>
      <c r="CD107" s="203">
        <v>11</v>
      </c>
      <c r="CE107" s="181">
        <v>12</v>
      </c>
      <c r="CF107" s="203">
        <v>12</v>
      </c>
      <c r="CG107" s="143"/>
      <c r="CH107" s="143"/>
      <c r="CI107" s="143"/>
      <c r="CJ107" s="203"/>
      <c r="CK107" s="203"/>
      <c r="CL107" s="203"/>
      <c r="CM107" s="203"/>
      <c r="CN107" s="143"/>
      <c r="CO107" s="143"/>
      <c r="CP107" s="203"/>
      <c r="CQ107" s="143">
        <v>5</v>
      </c>
      <c r="CR107" s="203">
        <v>5</v>
      </c>
      <c r="CS107" s="143"/>
      <c r="CT107" s="300"/>
    </row>
    <row r="108" spans="1:98" x14ac:dyDescent="0.25">
      <c r="A108" s="32" t="s">
        <v>109</v>
      </c>
      <c r="B108" s="33" t="s">
        <v>251</v>
      </c>
      <c r="C108" s="210"/>
      <c r="D108" s="68" t="s">
        <v>28</v>
      </c>
      <c r="E108" s="68" t="s">
        <v>29</v>
      </c>
      <c r="F108" s="34" t="s">
        <v>50</v>
      </c>
      <c r="G108" s="74" t="s">
        <v>31</v>
      </c>
      <c r="H108" s="34" t="s">
        <v>184</v>
      </c>
      <c r="I108" s="77"/>
      <c r="J108" s="77"/>
      <c r="K108" s="98" t="s">
        <v>281</v>
      </c>
      <c r="L108" s="77"/>
      <c r="M108" s="76">
        <v>1</v>
      </c>
      <c r="N108" s="77"/>
      <c r="O108" s="77"/>
      <c r="P108" s="77"/>
      <c r="Q108" s="76">
        <v>1</v>
      </c>
      <c r="R108" s="76">
        <v>1</v>
      </c>
      <c r="S108" s="76">
        <v>1</v>
      </c>
      <c r="T108" s="99">
        <v>1</v>
      </c>
      <c r="U108" s="76"/>
      <c r="V108" s="76"/>
      <c r="W108" s="275"/>
      <c r="X108" s="76">
        <v>1</v>
      </c>
      <c r="Y108" s="76">
        <v>1</v>
      </c>
      <c r="Z108" s="76">
        <v>1</v>
      </c>
      <c r="AA108" s="76"/>
      <c r="AB108" s="76"/>
      <c r="AC108" s="76"/>
      <c r="AD108" s="76">
        <v>1</v>
      </c>
      <c r="AE108" s="76"/>
      <c r="AF108" s="76"/>
      <c r="AG108" s="76"/>
      <c r="AH108" s="76"/>
      <c r="AI108" s="76"/>
      <c r="AJ108" s="76"/>
      <c r="AK108" s="275"/>
      <c r="AL108" s="275"/>
      <c r="AM108" s="77"/>
      <c r="AN108" s="275"/>
      <c r="AO108" s="275"/>
      <c r="AP108" s="275"/>
      <c r="AQ108" s="76"/>
      <c r="AR108" s="76"/>
      <c r="AS108" s="76"/>
      <c r="AT108" s="76"/>
      <c r="AU108" s="76"/>
      <c r="AV108" s="76"/>
      <c r="AW108" s="76">
        <v>1</v>
      </c>
      <c r="AX108" s="77">
        <v>1</v>
      </c>
      <c r="AY108" s="76">
        <v>1</v>
      </c>
      <c r="AZ108" s="99">
        <v>1</v>
      </c>
      <c r="BA108" s="76">
        <v>1</v>
      </c>
      <c r="BB108" s="76">
        <v>1</v>
      </c>
      <c r="BC108" s="76">
        <v>1</v>
      </c>
      <c r="BD108" s="76"/>
      <c r="BE108" s="76">
        <v>1</v>
      </c>
      <c r="BF108" s="76">
        <v>1</v>
      </c>
      <c r="BG108" s="76"/>
      <c r="BH108" s="99">
        <v>1</v>
      </c>
      <c r="BI108" s="76">
        <v>1</v>
      </c>
      <c r="BJ108" s="76">
        <v>1</v>
      </c>
      <c r="BK108" s="99">
        <v>1</v>
      </c>
      <c r="BL108" s="267">
        <v>0</v>
      </c>
      <c r="BM108" s="244">
        <f t="shared" si="63"/>
        <v>4</v>
      </c>
      <c r="BN108" s="244">
        <f t="shared" si="64"/>
        <v>10</v>
      </c>
      <c r="BO108" s="244">
        <f t="shared" si="65"/>
        <v>17</v>
      </c>
      <c r="BP108" s="160">
        <v>27</v>
      </c>
      <c r="BQ108" s="161">
        <v>0</v>
      </c>
      <c r="BR108" s="126"/>
      <c r="BS108" s="126"/>
      <c r="BT108" s="139"/>
      <c r="BU108" s="139"/>
      <c r="BV108" s="145"/>
      <c r="BW108" s="173"/>
      <c r="BX108" s="145"/>
      <c r="BY108" s="145"/>
      <c r="BZ108" s="145"/>
      <c r="CA108" s="145"/>
      <c r="CB108" s="145"/>
      <c r="CC108" s="212"/>
      <c r="CD108" s="212"/>
      <c r="CE108" s="145"/>
      <c r="CF108" s="212"/>
      <c r="CG108" s="145"/>
      <c r="CH108" s="145"/>
      <c r="CI108" s="145"/>
      <c r="CJ108" s="145"/>
      <c r="CK108" s="145"/>
      <c r="CL108" s="302"/>
      <c r="CM108" s="302"/>
      <c r="CN108" s="145"/>
      <c r="CO108" s="145"/>
      <c r="CP108" s="212"/>
      <c r="CQ108" s="145"/>
      <c r="CR108" s="212"/>
      <c r="CS108" s="145"/>
      <c r="CT108" s="300"/>
    </row>
    <row r="109" spans="1:98" x14ac:dyDescent="0.25">
      <c r="A109" s="45" t="s">
        <v>2</v>
      </c>
      <c r="B109" s="25" t="s">
        <v>295</v>
      </c>
      <c r="C109" s="204">
        <v>11002017000384</v>
      </c>
      <c r="D109" s="66" t="s">
        <v>28</v>
      </c>
      <c r="E109" s="66" t="s">
        <v>29</v>
      </c>
      <c r="F109" s="5" t="s">
        <v>51</v>
      </c>
      <c r="G109" s="72" t="s">
        <v>30</v>
      </c>
      <c r="H109" s="5" t="s">
        <v>185</v>
      </c>
      <c r="I109" s="48" t="s">
        <v>456</v>
      </c>
      <c r="J109" s="48">
        <v>1</v>
      </c>
      <c r="K109" s="89" t="s">
        <v>282</v>
      </c>
      <c r="L109" s="48">
        <v>1</v>
      </c>
      <c r="M109" s="21">
        <v>1</v>
      </c>
      <c r="N109" s="79">
        <v>1</v>
      </c>
      <c r="O109" s="79">
        <v>1</v>
      </c>
      <c r="P109" s="79">
        <v>1</v>
      </c>
      <c r="Q109" s="21">
        <v>1</v>
      </c>
      <c r="R109" s="21">
        <v>1</v>
      </c>
      <c r="S109" s="21">
        <v>1</v>
      </c>
      <c r="T109" s="26">
        <v>1</v>
      </c>
      <c r="U109" s="21"/>
      <c r="V109" s="21"/>
      <c r="W109" s="273"/>
      <c r="X109" s="21">
        <v>1</v>
      </c>
      <c r="Y109" s="21">
        <v>1</v>
      </c>
      <c r="Z109" s="21">
        <v>1</v>
      </c>
      <c r="AA109" s="21">
        <v>1</v>
      </c>
      <c r="AB109" s="21">
        <v>1</v>
      </c>
      <c r="AC109" s="21">
        <v>1</v>
      </c>
      <c r="AD109" s="21">
        <v>1</v>
      </c>
      <c r="AE109" s="21">
        <v>1</v>
      </c>
      <c r="AF109" s="21">
        <v>1</v>
      </c>
      <c r="AG109" s="21">
        <v>1</v>
      </c>
      <c r="AH109" s="21">
        <v>1</v>
      </c>
      <c r="AI109" s="21">
        <v>1</v>
      </c>
      <c r="AJ109" s="48" t="s">
        <v>755</v>
      </c>
      <c r="AK109" s="48">
        <v>1</v>
      </c>
      <c r="AL109" s="48">
        <v>1</v>
      </c>
      <c r="AM109" s="48">
        <v>1</v>
      </c>
      <c r="AN109" s="48">
        <v>1</v>
      </c>
      <c r="AO109" s="48">
        <v>1</v>
      </c>
      <c r="AP109" s="48">
        <v>1</v>
      </c>
      <c r="AQ109" s="21">
        <v>1</v>
      </c>
      <c r="AR109" s="21">
        <v>1</v>
      </c>
      <c r="AS109" s="21">
        <v>1</v>
      </c>
      <c r="AT109" s="21">
        <v>1</v>
      </c>
      <c r="AU109" s="21">
        <v>1</v>
      </c>
      <c r="AV109" s="21">
        <v>1</v>
      </c>
      <c r="AW109" s="21">
        <v>1</v>
      </c>
      <c r="AX109" s="48">
        <v>1</v>
      </c>
      <c r="AY109" s="21">
        <v>1</v>
      </c>
      <c r="AZ109" s="26">
        <v>1</v>
      </c>
      <c r="BA109" s="21">
        <v>1</v>
      </c>
      <c r="BB109" s="21">
        <v>1</v>
      </c>
      <c r="BC109" s="21">
        <v>1</v>
      </c>
      <c r="BD109" s="21">
        <v>1</v>
      </c>
      <c r="BE109" s="21">
        <v>1</v>
      </c>
      <c r="BF109" s="21">
        <v>1</v>
      </c>
      <c r="BG109" s="21">
        <v>1</v>
      </c>
      <c r="BH109" s="26">
        <v>1</v>
      </c>
      <c r="BI109" s="21">
        <v>1</v>
      </c>
      <c r="BJ109" s="21">
        <v>1</v>
      </c>
      <c r="BK109" s="26">
        <v>0</v>
      </c>
      <c r="BL109" s="252">
        <v>2.0099999999999998</v>
      </c>
      <c r="BM109" s="244">
        <f t="shared" si="63"/>
        <v>7</v>
      </c>
      <c r="BN109" s="244">
        <f t="shared" si="64"/>
        <v>13</v>
      </c>
      <c r="BO109" s="244">
        <f t="shared" si="65"/>
        <v>23</v>
      </c>
      <c r="BP109" s="82">
        <v>62</v>
      </c>
      <c r="BQ109" s="159">
        <v>26</v>
      </c>
      <c r="BR109" s="119" t="s">
        <v>301</v>
      </c>
      <c r="BS109" s="107"/>
      <c r="BT109" s="119">
        <v>4</v>
      </c>
      <c r="BU109" s="119">
        <v>6</v>
      </c>
      <c r="BV109" s="181">
        <v>7</v>
      </c>
      <c r="BW109" s="182">
        <v>6</v>
      </c>
      <c r="BX109" s="181">
        <v>5</v>
      </c>
      <c r="BY109" s="143"/>
      <c r="BZ109" s="203"/>
      <c r="CA109" s="181">
        <v>5</v>
      </c>
      <c r="CB109" s="143"/>
      <c r="CC109" s="203"/>
      <c r="CD109" s="203">
        <v>5</v>
      </c>
      <c r="CE109" s="181">
        <v>5</v>
      </c>
      <c r="CF109" s="203">
        <v>5</v>
      </c>
      <c r="CG109" s="143"/>
      <c r="CH109" s="181">
        <v>10</v>
      </c>
      <c r="CI109" s="143"/>
      <c r="CJ109" s="203"/>
      <c r="CK109" s="203"/>
      <c r="CL109" s="203">
        <v>10</v>
      </c>
      <c r="CM109" s="203"/>
      <c r="CN109" s="143"/>
      <c r="CO109" s="143"/>
      <c r="CP109" s="203"/>
      <c r="CQ109" s="143"/>
      <c r="CR109" s="203"/>
      <c r="CS109" s="143"/>
      <c r="CT109" s="300"/>
    </row>
    <row r="110" spans="1:98" x14ac:dyDescent="0.25">
      <c r="A110" s="24" t="s">
        <v>2</v>
      </c>
      <c r="B110" s="18" t="s">
        <v>252</v>
      </c>
      <c r="C110" s="203">
        <v>11002017000379</v>
      </c>
      <c r="D110" s="65" t="s">
        <v>28</v>
      </c>
      <c r="E110" s="65" t="s">
        <v>29</v>
      </c>
      <c r="F110" s="2" t="s">
        <v>51</v>
      </c>
      <c r="G110" s="71" t="s">
        <v>31</v>
      </c>
      <c r="H110" s="2" t="s">
        <v>186</v>
      </c>
      <c r="I110" s="46" t="s">
        <v>457</v>
      </c>
      <c r="J110" s="46">
        <v>1</v>
      </c>
      <c r="K110" s="88" t="s">
        <v>282</v>
      </c>
      <c r="L110" s="46"/>
      <c r="M110" s="19"/>
      <c r="N110" s="46"/>
      <c r="O110" s="46"/>
      <c r="P110" s="46"/>
      <c r="Q110" s="19"/>
      <c r="R110" s="19"/>
      <c r="S110" s="19"/>
      <c r="T110" s="20"/>
      <c r="U110" s="19"/>
      <c r="V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M110" s="46"/>
      <c r="AQ110" s="19"/>
      <c r="AR110" s="19"/>
      <c r="AS110" s="19"/>
      <c r="AT110" s="19"/>
      <c r="AU110" s="19"/>
      <c r="AV110" s="19"/>
      <c r="AW110" s="19"/>
      <c r="AY110" s="19"/>
      <c r="AZ110" s="20"/>
      <c r="BA110" s="19"/>
      <c r="BB110" s="19"/>
      <c r="BC110" s="19"/>
      <c r="BD110" s="19"/>
      <c r="BE110" s="19"/>
      <c r="BF110" s="19"/>
      <c r="BG110" s="19"/>
      <c r="BH110" s="20"/>
      <c r="BI110" s="19"/>
      <c r="BJ110" s="19"/>
      <c r="BK110" s="23">
        <v>1</v>
      </c>
      <c r="BL110" s="251">
        <v>1.42</v>
      </c>
      <c r="BM110" s="244">
        <f t="shared" si="63"/>
        <v>6.1</v>
      </c>
      <c r="BN110" s="244">
        <f t="shared" si="64"/>
        <v>12.1</v>
      </c>
      <c r="BO110" s="244">
        <f t="shared" si="65"/>
        <v>21</v>
      </c>
      <c r="BP110" s="82">
        <v>0</v>
      </c>
      <c r="BQ110" s="159">
        <v>2</v>
      </c>
      <c r="BR110" s="119">
        <v>2</v>
      </c>
      <c r="BS110" s="107"/>
      <c r="BT110" s="137"/>
      <c r="BU110" s="137"/>
      <c r="BV110" s="143"/>
      <c r="BW110" s="170"/>
      <c r="BX110" s="143"/>
      <c r="BY110" s="143"/>
      <c r="BZ110" s="203"/>
      <c r="CA110" s="143"/>
      <c r="CB110" s="143"/>
      <c r="CC110" s="203"/>
      <c r="CD110" s="203"/>
      <c r="CE110" s="143"/>
      <c r="CF110" s="203"/>
      <c r="CG110" s="143"/>
      <c r="CH110" s="143"/>
      <c r="CI110" s="143"/>
      <c r="CJ110" s="203"/>
      <c r="CK110" s="203"/>
      <c r="CL110" s="203"/>
      <c r="CM110" s="203"/>
      <c r="CN110" s="143"/>
      <c r="CO110" s="143"/>
      <c r="CP110" s="203"/>
      <c r="CQ110" s="143"/>
      <c r="CR110" s="203"/>
      <c r="CS110" s="143"/>
      <c r="CT110" s="300"/>
    </row>
    <row r="111" spans="1:98" x14ac:dyDescent="0.25">
      <c r="A111" s="24" t="s">
        <v>2</v>
      </c>
      <c r="B111" s="18" t="s">
        <v>693</v>
      </c>
      <c r="C111" s="203">
        <v>11002017000369</v>
      </c>
      <c r="D111" s="65" t="s">
        <v>28</v>
      </c>
      <c r="E111" s="65" t="s">
        <v>29</v>
      </c>
      <c r="F111" s="2" t="s">
        <v>51</v>
      </c>
      <c r="G111" s="71" t="s">
        <v>37</v>
      </c>
      <c r="H111" s="262" t="s">
        <v>694</v>
      </c>
      <c r="I111" s="46"/>
      <c r="J111" s="46"/>
      <c r="K111" s="88" t="s">
        <v>282</v>
      </c>
      <c r="L111" s="46"/>
      <c r="M111" s="19"/>
      <c r="N111" s="46"/>
      <c r="O111" s="46"/>
      <c r="P111" s="46"/>
      <c r="Q111" s="19"/>
      <c r="R111" s="19"/>
      <c r="S111" s="19"/>
      <c r="T111" s="20"/>
      <c r="U111" s="19">
        <v>1</v>
      </c>
      <c r="V111" s="19">
        <v>1</v>
      </c>
      <c r="W111" s="46">
        <v>1</v>
      </c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M111" s="46"/>
      <c r="AQ111" s="19"/>
      <c r="AR111" s="19"/>
      <c r="AS111" s="19"/>
      <c r="AT111" s="19"/>
      <c r="AU111" s="19"/>
      <c r="AV111" s="19"/>
      <c r="AW111" s="19"/>
      <c r="AY111" s="19"/>
      <c r="AZ111" s="20"/>
      <c r="BA111" s="19"/>
      <c r="BB111" s="19"/>
      <c r="BC111" s="19"/>
      <c r="BD111" s="19"/>
      <c r="BE111" s="19"/>
      <c r="BF111" s="19"/>
      <c r="BG111" s="19"/>
      <c r="BH111" s="20"/>
      <c r="BI111" s="19"/>
      <c r="BJ111" s="19"/>
      <c r="BK111" s="20"/>
      <c r="BL111" s="252">
        <v>1.86</v>
      </c>
      <c r="BM111" s="244">
        <f t="shared" ref="BM111" si="72">ROUND((BL111*1.5+4)*10,0)/10</f>
        <v>6.8</v>
      </c>
      <c r="BN111" s="244">
        <f t="shared" ref="BN111" si="73">ROUND((BL111*1.5+10)*10,0)/10</f>
        <v>12.8</v>
      </c>
      <c r="BO111" s="244">
        <f t="shared" ref="BO111" si="74">ROUND(BN111/0.7*1.22,0)</f>
        <v>22</v>
      </c>
      <c r="BP111" s="82"/>
      <c r="BQ111" s="159"/>
      <c r="BR111" s="107"/>
      <c r="BS111" s="107"/>
      <c r="BT111" s="137"/>
      <c r="BU111" s="137"/>
      <c r="BV111" s="143"/>
      <c r="BW111" s="170"/>
      <c r="BX111" s="143"/>
      <c r="BY111" s="143"/>
      <c r="BZ111" s="203"/>
      <c r="CA111" s="143"/>
      <c r="CB111" s="143"/>
      <c r="CC111" s="203"/>
      <c r="CD111" s="203"/>
      <c r="CE111" s="143"/>
      <c r="CF111" s="203"/>
      <c r="CG111" s="143"/>
      <c r="CH111" s="181">
        <v>10</v>
      </c>
      <c r="CI111" s="143"/>
      <c r="CJ111" s="203"/>
      <c r="CK111" s="203"/>
      <c r="CL111" s="203">
        <v>10</v>
      </c>
      <c r="CM111" s="203"/>
      <c r="CN111" s="143"/>
      <c r="CO111" s="143"/>
      <c r="CP111" s="203"/>
      <c r="CQ111" s="143"/>
      <c r="CR111" s="203"/>
      <c r="CS111" s="143"/>
      <c r="CT111" s="300"/>
    </row>
    <row r="112" spans="1:98" x14ac:dyDescent="0.25">
      <c r="A112" s="51" t="s">
        <v>110</v>
      </c>
      <c r="B112" s="35" t="s">
        <v>253</v>
      </c>
      <c r="C112" s="208">
        <v>11002017000128</v>
      </c>
      <c r="D112" s="67" t="s">
        <v>28</v>
      </c>
      <c r="E112" s="67" t="s">
        <v>29</v>
      </c>
      <c r="F112" s="15" t="s">
        <v>51</v>
      </c>
      <c r="G112" s="73" t="s">
        <v>32</v>
      </c>
      <c r="H112" s="15" t="s">
        <v>187</v>
      </c>
      <c r="I112" s="49" t="s">
        <v>458</v>
      </c>
      <c r="J112" s="49">
        <v>1</v>
      </c>
      <c r="K112" s="90" t="s">
        <v>282</v>
      </c>
      <c r="L112" s="49"/>
      <c r="M112" s="30"/>
      <c r="N112" s="49"/>
      <c r="O112" s="49"/>
      <c r="P112" s="49"/>
      <c r="Q112" s="30"/>
      <c r="R112" s="30"/>
      <c r="S112" s="30"/>
      <c r="T112" s="31"/>
      <c r="U112" s="30"/>
      <c r="V112" s="30"/>
      <c r="W112" s="274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274"/>
      <c r="AL112" s="274"/>
      <c r="AM112" s="49"/>
      <c r="AN112" s="274"/>
      <c r="AO112" s="274"/>
      <c r="AP112" s="274"/>
      <c r="AQ112" s="30"/>
      <c r="AR112" s="30"/>
      <c r="AS112" s="30"/>
      <c r="AT112" s="30"/>
      <c r="AU112" s="30"/>
      <c r="AV112" s="30"/>
      <c r="AW112" s="30"/>
      <c r="AX112" s="274"/>
      <c r="AY112" s="30"/>
      <c r="AZ112" s="31"/>
      <c r="BA112" s="30"/>
      <c r="BB112" s="30"/>
      <c r="BC112" s="30"/>
      <c r="BD112" s="30"/>
      <c r="BE112" s="30"/>
      <c r="BF112" s="30"/>
      <c r="BG112" s="30"/>
      <c r="BH112" s="31"/>
      <c r="BI112" s="30"/>
      <c r="BJ112" s="30"/>
      <c r="BK112" s="40">
        <v>1</v>
      </c>
      <c r="BL112" s="254">
        <v>3.5230000000000001</v>
      </c>
      <c r="BM112" s="244">
        <f t="shared" si="63"/>
        <v>9.3000000000000007</v>
      </c>
      <c r="BN112" s="244">
        <f t="shared" si="64"/>
        <v>15.3</v>
      </c>
      <c r="BO112" s="244">
        <f t="shared" si="65"/>
        <v>27</v>
      </c>
      <c r="BP112" s="82">
        <v>0</v>
      </c>
      <c r="BQ112" s="159">
        <v>2</v>
      </c>
      <c r="BR112" s="119">
        <v>2</v>
      </c>
      <c r="BS112" s="107"/>
      <c r="BT112" s="138"/>
      <c r="BU112" s="137"/>
      <c r="BV112" s="143"/>
      <c r="BW112" s="170"/>
      <c r="BX112" s="143"/>
      <c r="BY112" s="143"/>
      <c r="BZ112" s="203"/>
      <c r="CA112" s="143"/>
      <c r="CB112" s="143"/>
      <c r="CC112" s="203"/>
      <c r="CD112" s="203"/>
      <c r="CE112" s="143"/>
      <c r="CF112" s="203"/>
      <c r="CG112" s="143"/>
      <c r="CH112" s="143"/>
      <c r="CI112" s="143"/>
      <c r="CJ112" s="203"/>
      <c r="CK112" s="203"/>
      <c r="CL112" s="203"/>
      <c r="CM112" s="203"/>
      <c r="CN112" s="143"/>
      <c r="CO112" s="143"/>
      <c r="CP112" s="203"/>
      <c r="CQ112" s="143"/>
      <c r="CR112" s="203"/>
      <c r="CS112" s="143"/>
      <c r="CT112" s="300"/>
    </row>
    <row r="113" spans="1:98" ht="26.4" x14ac:dyDescent="0.25">
      <c r="A113" s="24" t="s">
        <v>81</v>
      </c>
      <c r="B113" s="18" t="s">
        <v>254</v>
      </c>
      <c r="C113" s="205" t="s">
        <v>399</v>
      </c>
      <c r="D113" s="70" t="s">
        <v>28</v>
      </c>
      <c r="E113" s="70" t="s">
        <v>29</v>
      </c>
      <c r="F113" s="1" t="s">
        <v>52</v>
      </c>
      <c r="G113" s="110" t="s">
        <v>30</v>
      </c>
      <c r="H113" s="1" t="s">
        <v>188</v>
      </c>
      <c r="I113" s="46" t="s">
        <v>459</v>
      </c>
      <c r="J113" s="46">
        <v>1</v>
      </c>
      <c r="K113" s="93" t="s">
        <v>283</v>
      </c>
      <c r="L113" s="46">
        <v>1</v>
      </c>
      <c r="M113" s="147">
        <v>1</v>
      </c>
      <c r="N113" s="78">
        <v>1</v>
      </c>
      <c r="O113" s="78">
        <v>1</v>
      </c>
      <c r="P113" s="78">
        <v>1</v>
      </c>
      <c r="Q113" s="111"/>
      <c r="R113" s="111"/>
      <c r="S113" s="111">
        <v>1</v>
      </c>
      <c r="T113" s="148">
        <v>1</v>
      </c>
      <c r="U113" s="111"/>
      <c r="V113" s="111"/>
      <c r="X113" s="149">
        <v>1</v>
      </c>
      <c r="Y113" s="149">
        <v>1</v>
      </c>
      <c r="Z113" s="113">
        <v>1</v>
      </c>
      <c r="AA113" s="113">
        <v>1</v>
      </c>
      <c r="AB113" s="111"/>
      <c r="AC113" s="111"/>
      <c r="AD113" s="111">
        <v>1</v>
      </c>
      <c r="AE113" s="111"/>
      <c r="AF113" s="111"/>
      <c r="AG113" s="111"/>
      <c r="AH113" s="111"/>
      <c r="AI113" s="111"/>
      <c r="AJ113" s="111"/>
      <c r="AM113" s="46"/>
      <c r="AQ113" s="111"/>
      <c r="AR113" s="111"/>
      <c r="AS113" s="111"/>
      <c r="AT113" s="111"/>
      <c r="AU113" s="111"/>
      <c r="AV113" s="111"/>
      <c r="AW113" s="111">
        <v>1</v>
      </c>
      <c r="AY113" s="111">
        <v>1</v>
      </c>
      <c r="AZ113" s="150">
        <v>1</v>
      </c>
      <c r="BA113" s="149">
        <v>1</v>
      </c>
      <c r="BB113" s="149">
        <v>1</v>
      </c>
      <c r="BC113" s="151">
        <v>1</v>
      </c>
      <c r="BD113" s="111"/>
      <c r="BE113" s="151">
        <v>1</v>
      </c>
      <c r="BF113" s="111">
        <v>1</v>
      </c>
      <c r="BG113" s="111"/>
      <c r="BH113" s="152">
        <v>1</v>
      </c>
      <c r="BI113" s="147">
        <v>1</v>
      </c>
      <c r="BJ113" s="147">
        <v>1</v>
      </c>
      <c r="BK113" s="152">
        <v>1</v>
      </c>
      <c r="BL113" s="251">
        <v>1.01</v>
      </c>
      <c r="BM113" s="244">
        <f t="shared" si="63"/>
        <v>5.5</v>
      </c>
      <c r="BN113" s="244">
        <f t="shared" si="64"/>
        <v>11.5</v>
      </c>
      <c r="BO113" s="244">
        <f t="shared" si="65"/>
        <v>20</v>
      </c>
      <c r="BP113" s="82">
        <v>210</v>
      </c>
      <c r="BQ113" s="159">
        <v>25</v>
      </c>
      <c r="BR113" s="124" t="s">
        <v>302</v>
      </c>
      <c r="BS113" s="124">
        <v>22</v>
      </c>
      <c r="BT113" s="124">
        <v>34</v>
      </c>
      <c r="BU113" s="124">
        <v>43</v>
      </c>
      <c r="BV113" s="185">
        <v>19</v>
      </c>
      <c r="BW113" s="186">
        <v>34</v>
      </c>
      <c r="BX113" s="153"/>
      <c r="BY113" s="153"/>
      <c r="BZ113" s="204"/>
      <c r="CA113" s="153"/>
      <c r="CB113" s="153"/>
      <c r="CC113" s="204"/>
      <c r="CD113" s="204"/>
      <c r="CE113" s="153"/>
      <c r="CF113" s="204"/>
      <c r="CG113" s="153"/>
      <c r="CH113" s="185" t="s">
        <v>767</v>
      </c>
      <c r="CI113" s="153"/>
      <c r="CJ113" s="204">
        <v>20</v>
      </c>
      <c r="CK113" s="204"/>
      <c r="CL113" s="204"/>
      <c r="CM113" s="204"/>
      <c r="CN113" s="153"/>
      <c r="CO113" s="153"/>
      <c r="CP113" s="204"/>
      <c r="CQ113" s="153"/>
      <c r="CR113" s="204"/>
      <c r="CS113" s="153"/>
      <c r="CT113" s="300"/>
    </row>
    <row r="114" spans="1:98" x14ac:dyDescent="0.25">
      <c r="A114" s="24" t="s">
        <v>81</v>
      </c>
      <c r="B114" s="18" t="s">
        <v>376</v>
      </c>
      <c r="C114" s="205">
        <v>11002014000293</v>
      </c>
      <c r="D114" s="70" t="s">
        <v>28</v>
      </c>
      <c r="E114" s="70" t="s">
        <v>29</v>
      </c>
      <c r="F114" s="1" t="s">
        <v>52</v>
      </c>
      <c r="G114" s="110" t="s">
        <v>32</v>
      </c>
      <c r="H114" s="1" t="s">
        <v>527</v>
      </c>
      <c r="I114" s="46"/>
      <c r="J114" s="46">
        <v>1</v>
      </c>
      <c r="K114" s="93" t="s">
        <v>283</v>
      </c>
      <c r="L114" s="46"/>
      <c r="M114" s="111"/>
      <c r="N114" s="46"/>
      <c r="O114" s="46"/>
      <c r="P114" s="46"/>
      <c r="Q114" s="111"/>
      <c r="R114" s="111"/>
      <c r="S114" s="111"/>
      <c r="T114" s="112"/>
      <c r="U114" s="111"/>
      <c r="V114" s="111"/>
      <c r="X114" s="111"/>
      <c r="Y114" s="111"/>
      <c r="Z114" s="111"/>
      <c r="AA114" s="111"/>
      <c r="AB114" s="111">
        <v>1</v>
      </c>
      <c r="AC114" s="111">
        <v>1</v>
      </c>
      <c r="AD114" s="111"/>
      <c r="AE114" s="111"/>
      <c r="AF114" s="111"/>
      <c r="AG114" s="111"/>
      <c r="AH114" s="111"/>
      <c r="AI114" s="111"/>
      <c r="AJ114" s="111"/>
      <c r="AM114" s="46"/>
      <c r="AQ114" s="111"/>
      <c r="AR114" s="111"/>
      <c r="AS114" s="111"/>
      <c r="AT114" s="111"/>
      <c r="AU114" s="111"/>
      <c r="AV114" s="111"/>
      <c r="AW114" s="111"/>
      <c r="AY114" s="111"/>
      <c r="AZ114" s="112"/>
      <c r="BA114" s="111"/>
      <c r="BB114" s="111"/>
      <c r="BC114" s="111"/>
      <c r="BD114" s="111"/>
      <c r="BE114" s="111"/>
      <c r="BF114" s="111"/>
      <c r="BG114" s="111"/>
      <c r="BH114" s="112"/>
      <c r="BI114" s="111"/>
      <c r="BJ114" s="111"/>
      <c r="BK114" s="112"/>
      <c r="BL114" s="252">
        <v>1.54</v>
      </c>
      <c r="BM114" s="244">
        <f t="shared" si="63"/>
        <v>6.3</v>
      </c>
      <c r="BN114" s="244">
        <f t="shared" si="64"/>
        <v>12.3</v>
      </c>
      <c r="BO114" s="244">
        <f t="shared" si="65"/>
        <v>21</v>
      </c>
      <c r="BP114" s="82">
        <v>3</v>
      </c>
      <c r="BQ114" s="159">
        <v>21</v>
      </c>
      <c r="BR114" s="107"/>
      <c r="BS114" s="107"/>
      <c r="BT114" s="107"/>
      <c r="BU114" s="107"/>
      <c r="BV114" s="196"/>
      <c r="BW114" s="197"/>
      <c r="BX114" s="143"/>
      <c r="BY114" s="181">
        <v>14</v>
      </c>
      <c r="BZ114" s="203">
        <v>14</v>
      </c>
      <c r="CA114" s="143"/>
      <c r="CB114" s="143"/>
      <c r="CC114" s="203"/>
      <c r="CD114" s="203"/>
      <c r="CE114" s="181">
        <v>5</v>
      </c>
      <c r="CF114" s="203">
        <v>5</v>
      </c>
      <c r="CG114" s="181">
        <v>5</v>
      </c>
      <c r="CH114" s="143"/>
      <c r="CI114" s="143"/>
      <c r="CJ114" s="203"/>
      <c r="CK114" s="203"/>
      <c r="CL114" s="203"/>
      <c r="CM114" s="203"/>
      <c r="CN114" s="143"/>
      <c r="CO114" s="143"/>
      <c r="CP114" s="203"/>
      <c r="CQ114" s="143"/>
      <c r="CR114" s="203"/>
      <c r="CS114" s="143"/>
      <c r="CT114" s="300"/>
    </row>
    <row r="115" spans="1:98" x14ac:dyDescent="0.25">
      <c r="A115" s="51" t="s">
        <v>81</v>
      </c>
      <c r="B115" s="35" t="s">
        <v>376</v>
      </c>
      <c r="C115" s="211" t="s">
        <v>377</v>
      </c>
      <c r="D115" s="102" t="s">
        <v>28</v>
      </c>
      <c r="E115" s="102" t="s">
        <v>29</v>
      </c>
      <c r="F115" s="103" t="s">
        <v>52</v>
      </c>
      <c r="G115" s="154" t="s">
        <v>31</v>
      </c>
      <c r="H115" s="103" t="s">
        <v>378</v>
      </c>
      <c r="I115" s="49" t="s">
        <v>460</v>
      </c>
      <c r="J115" s="49">
        <v>1</v>
      </c>
      <c r="K115" s="142" t="s">
        <v>283</v>
      </c>
      <c r="L115" s="49"/>
      <c r="M115" s="101"/>
      <c r="N115" s="49"/>
      <c r="O115" s="49"/>
      <c r="P115" s="49"/>
      <c r="Q115" s="101">
        <v>1</v>
      </c>
      <c r="R115" s="101">
        <v>1</v>
      </c>
      <c r="S115" s="101"/>
      <c r="T115" s="155"/>
      <c r="U115" s="101">
        <v>1</v>
      </c>
      <c r="V115" s="101">
        <v>1</v>
      </c>
      <c r="W115" s="49">
        <v>1</v>
      </c>
      <c r="X115" s="101"/>
      <c r="Y115" s="101"/>
      <c r="Z115" s="281">
        <v>1</v>
      </c>
      <c r="AA115" s="281">
        <v>1</v>
      </c>
      <c r="AB115" s="101"/>
      <c r="AC115" s="101"/>
      <c r="AD115" s="101"/>
      <c r="AE115" s="101">
        <v>1</v>
      </c>
      <c r="AF115" s="101">
        <v>1</v>
      </c>
      <c r="AG115" s="101">
        <v>1</v>
      </c>
      <c r="AH115" s="101">
        <v>1</v>
      </c>
      <c r="AI115" s="101">
        <v>1</v>
      </c>
      <c r="AJ115" s="49" t="s">
        <v>755</v>
      </c>
      <c r="AK115" s="49">
        <v>1</v>
      </c>
      <c r="AL115" s="49">
        <v>1</v>
      </c>
      <c r="AM115" s="49">
        <v>1</v>
      </c>
      <c r="AN115" s="49">
        <v>1</v>
      </c>
      <c r="AO115" s="49">
        <v>1</v>
      </c>
      <c r="AP115" s="49">
        <v>1</v>
      </c>
      <c r="AQ115" s="101">
        <v>1</v>
      </c>
      <c r="AR115" s="101">
        <v>1</v>
      </c>
      <c r="AS115" s="101">
        <v>1</v>
      </c>
      <c r="AT115" s="101">
        <v>1</v>
      </c>
      <c r="AU115" s="101">
        <v>1</v>
      </c>
      <c r="AV115" s="101">
        <v>1</v>
      </c>
      <c r="AW115" s="101"/>
      <c r="AX115" s="49">
        <v>1</v>
      </c>
      <c r="AY115" s="101"/>
      <c r="AZ115" s="155"/>
      <c r="BA115" s="101"/>
      <c r="BB115" s="101"/>
      <c r="BC115" s="101"/>
      <c r="BD115" s="101">
        <v>1</v>
      </c>
      <c r="BE115" s="101"/>
      <c r="BF115" s="101"/>
      <c r="BG115" s="101">
        <v>1</v>
      </c>
      <c r="BH115" s="155"/>
      <c r="BI115" s="101"/>
      <c r="BJ115" s="101"/>
      <c r="BK115" s="155"/>
      <c r="BL115" s="255">
        <v>1.02</v>
      </c>
      <c r="BM115" s="244">
        <f t="shared" si="63"/>
        <v>5.5</v>
      </c>
      <c r="BN115" s="244">
        <f t="shared" si="64"/>
        <v>11.5</v>
      </c>
      <c r="BO115" s="244">
        <f t="shared" si="65"/>
        <v>20</v>
      </c>
      <c r="BP115" s="82">
        <v>6</v>
      </c>
      <c r="BQ115" s="159">
        <v>30</v>
      </c>
      <c r="BR115" s="109"/>
      <c r="BS115" s="109"/>
      <c r="BT115" s="109"/>
      <c r="BU115" s="121">
        <v>8</v>
      </c>
      <c r="BV115" s="144"/>
      <c r="BW115" s="171"/>
      <c r="BX115" s="183">
        <v>5</v>
      </c>
      <c r="BY115" s="183">
        <v>5</v>
      </c>
      <c r="BZ115" s="208">
        <v>5</v>
      </c>
      <c r="CA115" s="144"/>
      <c r="CB115" s="183">
        <v>8</v>
      </c>
      <c r="CC115" s="208"/>
      <c r="CD115" s="208">
        <v>8</v>
      </c>
      <c r="CE115" s="144"/>
      <c r="CF115" s="208"/>
      <c r="CG115" s="183">
        <v>10</v>
      </c>
      <c r="CH115" s="144"/>
      <c r="CI115" s="144"/>
      <c r="CJ115" s="208"/>
      <c r="CK115" s="208"/>
      <c r="CL115" s="208"/>
      <c r="CM115" s="208"/>
      <c r="CN115" s="144"/>
      <c r="CO115" s="144"/>
      <c r="CP115" s="208"/>
      <c r="CQ115" s="144"/>
      <c r="CR115" s="208"/>
      <c r="CS115" s="144"/>
      <c r="CT115" s="300"/>
    </row>
    <row r="116" spans="1:98" x14ac:dyDescent="0.25">
      <c r="A116" s="24" t="s">
        <v>75</v>
      </c>
      <c r="B116" s="18" t="s">
        <v>255</v>
      </c>
      <c r="C116" s="203">
        <v>17470000000695</v>
      </c>
      <c r="D116" s="65" t="s">
        <v>28</v>
      </c>
      <c r="E116" s="65" t="s">
        <v>29</v>
      </c>
      <c r="F116" s="2" t="s">
        <v>54</v>
      </c>
      <c r="G116" s="71" t="s">
        <v>30</v>
      </c>
      <c r="H116" s="2" t="s">
        <v>189</v>
      </c>
      <c r="I116" s="46" t="s">
        <v>461</v>
      </c>
      <c r="J116" s="46">
        <v>1</v>
      </c>
      <c r="K116" s="88" t="s">
        <v>284</v>
      </c>
      <c r="L116" s="46">
        <v>1</v>
      </c>
      <c r="M116" s="19">
        <v>1</v>
      </c>
      <c r="N116" s="78">
        <v>1</v>
      </c>
      <c r="O116" s="78">
        <v>1</v>
      </c>
      <c r="P116" s="78">
        <v>1</v>
      </c>
      <c r="Q116" s="19">
        <v>1</v>
      </c>
      <c r="R116" s="19">
        <v>1</v>
      </c>
      <c r="S116" s="19">
        <v>1</v>
      </c>
      <c r="T116" s="20">
        <v>1</v>
      </c>
      <c r="U116" s="19">
        <v>1</v>
      </c>
      <c r="V116" s="19">
        <v>1</v>
      </c>
      <c r="W116" s="46">
        <v>1</v>
      </c>
      <c r="X116" s="19"/>
      <c r="Y116" s="19"/>
      <c r="Z116" s="19"/>
      <c r="AA116" s="19"/>
      <c r="AB116" s="19"/>
      <c r="AC116" s="19"/>
      <c r="AD116" s="19"/>
      <c r="AE116" s="19">
        <v>1</v>
      </c>
      <c r="AF116" s="19">
        <v>1</v>
      </c>
      <c r="AG116" s="19">
        <v>1</v>
      </c>
      <c r="AH116" s="19">
        <v>1</v>
      </c>
      <c r="AI116" s="19">
        <v>1</v>
      </c>
      <c r="AJ116" s="46" t="s">
        <v>755</v>
      </c>
      <c r="AK116" s="46">
        <v>1</v>
      </c>
      <c r="AL116" s="46">
        <v>1</v>
      </c>
      <c r="AM116" s="46">
        <v>1</v>
      </c>
      <c r="AN116" s="46">
        <v>1</v>
      </c>
      <c r="AO116" s="46">
        <v>1</v>
      </c>
      <c r="AP116" s="46">
        <v>1</v>
      </c>
      <c r="AQ116" s="19">
        <v>1</v>
      </c>
      <c r="AR116" s="19">
        <v>1</v>
      </c>
      <c r="AS116" s="19"/>
      <c r="AT116" s="19"/>
      <c r="AU116" s="19"/>
      <c r="AV116" s="19"/>
      <c r="AW116" s="19"/>
      <c r="AY116" s="19"/>
      <c r="AZ116" s="20"/>
      <c r="BA116" s="19"/>
      <c r="BB116" s="19"/>
      <c r="BC116" s="19"/>
      <c r="BD116" s="19"/>
      <c r="BE116" s="19"/>
      <c r="BF116" s="19"/>
      <c r="BG116" s="19"/>
      <c r="BH116" s="20"/>
      <c r="BI116" s="19"/>
      <c r="BJ116" s="19"/>
      <c r="BK116" s="20"/>
      <c r="BL116" s="251">
        <v>1.71</v>
      </c>
      <c r="BM116" s="244">
        <f t="shared" si="63"/>
        <v>6.6</v>
      </c>
      <c r="BN116" s="244">
        <f t="shared" si="64"/>
        <v>12.6</v>
      </c>
      <c r="BO116" s="244">
        <f t="shared" si="65"/>
        <v>22</v>
      </c>
      <c r="BP116" s="82">
        <v>22</v>
      </c>
      <c r="BQ116" s="159">
        <v>11</v>
      </c>
      <c r="BR116" s="119" t="s">
        <v>332</v>
      </c>
      <c r="BS116" s="119">
        <v>3</v>
      </c>
      <c r="BT116" s="119">
        <v>5</v>
      </c>
      <c r="BU116" s="119">
        <v>4</v>
      </c>
      <c r="BV116" s="181">
        <v>2</v>
      </c>
      <c r="BW116" s="182">
        <v>3</v>
      </c>
      <c r="BX116" s="143"/>
      <c r="BY116" s="143"/>
      <c r="BZ116" s="203"/>
      <c r="CA116" s="143"/>
      <c r="CB116" s="181">
        <v>5</v>
      </c>
      <c r="CC116" s="203"/>
      <c r="CD116" s="203">
        <v>5</v>
      </c>
      <c r="CE116" s="143"/>
      <c r="CF116" s="203"/>
      <c r="CG116" s="143"/>
      <c r="CH116" s="143"/>
      <c r="CI116" s="143"/>
      <c r="CJ116" s="203"/>
      <c r="CK116" s="203"/>
      <c r="CL116" s="203"/>
      <c r="CM116" s="203"/>
      <c r="CN116" s="143"/>
      <c r="CO116" s="143"/>
      <c r="CP116" s="203"/>
      <c r="CQ116" s="143">
        <v>5</v>
      </c>
      <c r="CR116" s="203">
        <v>5</v>
      </c>
      <c r="CS116" s="143"/>
      <c r="CT116" s="300"/>
    </row>
    <row r="117" spans="1:98" x14ac:dyDescent="0.25">
      <c r="A117" s="24" t="s">
        <v>76</v>
      </c>
      <c r="B117" s="18" t="s">
        <v>256</v>
      </c>
      <c r="C117" s="203">
        <v>17470000000694</v>
      </c>
      <c r="D117" s="65" t="s">
        <v>28</v>
      </c>
      <c r="E117" s="65" t="s">
        <v>29</v>
      </c>
      <c r="F117" s="2" t="s">
        <v>54</v>
      </c>
      <c r="G117" s="71" t="s">
        <v>31</v>
      </c>
      <c r="H117" s="2" t="s">
        <v>190</v>
      </c>
      <c r="I117" s="46" t="s">
        <v>462</v>
      </c>
      <c r="J117" s="46">
        <v>1</v>
      </c>
      <c r="K117" s="88" t="s">
        <v>284</v>
      </c>
      <c r="L117" s="46"/>
      <c r="M117" s="19"/>
      <c r="N117" s="46"/>
      <c r="O117" s="46"/>
      <c r="P117" s="46"/>
      <c r="Q117" s="19"/>
      <c r="R117" s="19"/>
      <c r="S117" s="19"/>
      <c r="T117" s="20"/>
      <c r="U117" s="19"/>
      <c r="V117" s="19"/>
      <c r="X117" s="19">
        <v>1</v>
      </c>
      <c r="Y117" s="19">
        <v>1</v>
      </c>
      <c r="Z117" s="19">
        <v>1</v>
      </c>
      <c r="AA117" s="19">
        <v>1</v>
      </c>
      <c r="AB117" s="19"/>
      <c r="AC117" s="19"/>
      <c r="AD117" s="19">
        <v>1</v>
      </c>
      <c r="AE117" s="19"/>
      <c r="AF117" s="19"/>
      <c r="AG117" s="19"/>
      <c r="AH117" s="19"/>
      <c r="AI117" s="19"/>
      <c r="AJ117" s="19"/>
      <c r="AM117" s="46"/>
      <c r="AQ117" s="19"/>
      <c r="AR117" s="19"/>
      <c r="AS117" s="19">
        <v>1</v>
      </c>
      <c r="AT117" s="19">
        <v>1</v>
      </c>
      <c r="AU117" s="19"/>
      <c r="AV117" s="19"/>
      <c r="AW117" s="19">
        <v>1</v>
      </c>
      <c r="AX117" s="46">
        <v>1</v>
      </c>
      <c r="AY117" s="19">
        <v>1</v>
      </c>
      <c r="AZ117" s="20">
        <v>1</v>
      </c>
      <c r="BA117" s="19">
        <v>1</v>
      </c>
      <c r="BB117" s="19">
        <v>1</v>
      </c>
      <c r="BC117" s="19">
        <v>1</v>
      </c>
      <c r="BD117" s="19">
        <v>1</v>
      </c>
      <c r="BE117" s="19">
        <v>1</v>
      </c>
      <c r="BF117" s="19">
        <v>1</v>
      </c>
      <c r="BG117" s="19">
        <v>1</v>
      </c>
      <c r="BH117" s="20">
        <v>1</v>
      </c>
      <c r="BI117" s="19"/>
      <c r="BJ117" s="19"/>
      <c r="BK117" s="20"/>
      <c r="BL117" s="251">
        <v>1.77</v>
      </c>
      <c r="BM117" s="244">
        <f t="shared" si="63"/>
        <v>6.7</v>
      </c>
      <c r="BN117" s="244">
        <f t="shared" si="64"/>
        <v>12.7</v>
      </c>
      <c r="BO117" s="244">
        <f t="shared" si="65"/>
        <v>22</v>
      </c>
      <c r="BP117" s="82">
        <v>59</v>
      </c>
      <c r="BQ117" s="159">
        <v>27</v>
      </c>
      <c r="BR117" s="119" t="s">
        <v>333</v>
      </c>
      <c r="BS117" s="107"/>
      <c r="BT117" s="119">
        <v>2</v>
      </c>
      <c r="BU117" s="119">
        <v>9</v>
      </c>
      <c r="BV117" s="181">
        <v>10</v>
      </c>
      <c r="BW117" s="182">
        <v>5</v>
      </c>
      <c r="BX117" s="181">
        <v>5</v>
      </c>
      <c r="BY117" s="181">
        <v>5</v>
      </c>
      <c r="BZ117" s="203">
        <v>5</v>
      </c>
      <c r="CA117" s="181">
        <v>6</v>
      </c>
      <c r="CB117" s="143"/>
      <c r="CC117" s="203"/>
      <c r="CD117" s="203">
        <v>6</v>
      </c>
      <c r="CE117" s="181">
        <v>10</v>
      </c>
      <c r="CF117" s="203">
        <v>10</v>
      </c>
      <c r="CG117" s="143"/>
      <c r="CH117" s="143"/>
      <c r="CI117" s="143"/>
      <c r="CJ117" s="203"/>
      <c r="CK117" s="203"/>
      <c r="CL117" s="203"/>
      <c r="CM117" s="203"/>
      <c r="CN117" s="143"/>
      <c r="CO117" s="143"/>
      <c r="CP117" s="203"/>
      <c r="CQ117" s="143">
        <v>30</v>
      </c>
      <c r="CR117" s="203">
        <v>30</v>
      </c>
      <c r="CS117" s="143"/>
      <c r="CT117" s="300"/>
    </row>
    <row r="118" spans="1:98" x14ac:dyDescent="0.25">
      <c r="A118" s="51" t="s">
        <v>77</v>
      </c>
      <c r="B118" s="18" t="s">
        <v>257</v>
      </c>
      <c r="C118" s="208">
        <v>17470000000689</v>
      </c>
      <c r="D118" s="65" t="s">
        <v>28</v>
      </c>
      <c r="E118" s="65" t="s">
        <v>29</v>
      </c>
      <c r="F118" s="2" t="s">
        <v>54</v>
      </c>
      <c r="G118" s="71" t="s">
        <v>32</v>
      </c>
      <c r="H118" s="2" t="s">
        <v>191</v>
      </c>
      <c r="I118" s="46" t="s">
        <v>463</v>
      </c>
      <c r="J118" s="46">
        <v>1</v>
      </c>
      <c r="K118" s="88" t="s">
        <v>284</v>
      </c>
      <c r="L118" s="46"/>
      <c r="M118" s="19"/>
      <c r="N118" s="46"/>
      <c r="O118" s="46"/>
      <c r="P118" s="46"/>
      <c r="Q118" s="19"/>
      <c r="R118" s="19"/>
      <c r="S118" s="19"/>
      <c r="T118" s="20"/>
      <c r="U118" s="19"/>
      <c r="V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M118" s="46"/>
      <c r="AQ118" s="19"/>
      <c r="AR118" s="19"/>
      <c r="AS118" s="19"/>
      <c r="AT118" s="19"/>
      <c r="AU118" s="19">
        <v>1</v>
      </c>
      <c r="AV118" s="19">
        <v>1</v>
      </c>
      <c r="AW118" s="19"/>
      <c r="AY118" s="19"/>
      <c r="AZ118" s="20"/>
      <c r="BA118" s="19"/>
      <c r="BB118" s="19"/>
      <c r="BC118" s="19"/>
      <c r="BD118" s="19"/>
      <c r="BE118" s="19"/>
      <c r="BF118" s="19"/>
      <c r="BG118" s="19"/>
      <c r="BH118" s="20"/>
      <c r="BI118" s="19">
        <v>1</v>
      </c>
      <c r="BJ118" s="19">
        <v>1</v>
      </c>
      <c r="BK118" s="20">
        <v>1</v>
      </c>
      <c r="BL118" s="251">
        <v>2.0459999999999998</v>
      </c>
      <c r="BM118" s="244">
        <f t="shared" si="63"/>
        <v>7.1</v>
      </c>
      <c r="BN118" s="244">
        <f t="shared" si="64"/>
        <v>13.1</v>
      </c>
      <c r="BO118" s="244">
        <f t="shared" si="65"/>
        <v>23</v>
      </c>
      <c r="BP118" s="82">
        <v>0</v>
      </c>
      <c r="BQ118" s="159">
        <v>5</v>
      </c>
      <c r="BR118" s="108"/>
      <c r="BS118" s="108"/>
      <c r="BT118" s="138"/>
      <c r="BU118" s="138"/>
      <c r="BV118" s="144"/>
      <c r="BW118" s="171"/>
      <c r="BX118" s="144"/>
      <c r="BY118" s="144"/>
      <c r="BZ118" s="208"/>
      <c r="CA118" s="144"/>
      <c r="CB118" s="144"/>
      <c r="CC118" s="208"/>
      <c r="CD118" s="208"/>
      <c r="CE118" s="144"/>
      <c r="CF118" s="208"/>
      <c r="CG118" s="144"/>
      <c r="CH118" s="144"/>
      <c r="CI118" s="144"/>
      <c r="CJ118" s="208"/>
      <c r="CK118" s="208"/>
      <c r="CL118" s="208"/>
      <c r="CM118" s="208"/>
      <c r="CN118" s="144"/>
      <c r="CO118" s="144"/>
      <c r="CP118" s="208"/>
      <c r="CQ118" s="144">
        <v>5</v>
      </c>
      <c r="CR118" s="208">
        <v>5</v>
      </c>
      <c r="CS118" s="144"/>
      <c r="CT118" s="300"/>
    </row>
    <row r="119" spans="1:98" x14ac:dyDescent="0.25">
      <c r="A119" s="53" t="s">
        <v>111</v>
      </c>
      <c r="B119" s="36" t="s">
        <v>258</v>
      </c>
      <c r="C119" s="211">
        <v>17470000008946</v>
      </c>
      <c r="D119" s="69" t="s">
        <v>28</v>
      </c>
      <c r="E119" s="69" t="s">
        <v>29</v>
      </c>
      <c r="F119" s="44" t="s">
        <v>55</v>
      </c>
      <c r="G119" s="75" t="s">
        <v>30</v>
      </c>
      <c r="H119" s="44" t="s">
        <v>192</v>
      </c>
      <c r="I119" s="50" t="s">
        <v>464</v>
      </c>
      <c r="J119" s="50">
        <v>1</v>
      </c>
      <c r="K119" s="91" t="s">
        <v>285</v>
      </c>
      <c r="L119" s="50">
        <v>1</v>
      </c>
      <c r="M119" s="37">
        <v>1</v>
      </c>
      <c r="N119" s="80">
        <v>1</v>
      </c>
      <c r="O119" s="80">
        <v>1</v>
      </c>
      <c r="P119" s="80">
        <v>1</v>
      </c>
      <c r="Q119" s="37">
        <v>1</v>
      </c>
      <c r="R119" s="37">
        <v>1</v>
      </c>
      <c r="S119" s="37">
        <v>1</v>
      </c>
      <c r="T119" s="38">
        <v>1</v>
      </c>
      <c r="U119" s="37">
        <v>1</v>
      </c>
      <c r="V119" s="37">
        <v>1</v>
      </c>
      <c r="W119" s="50">
        <v>1</v>
      </c>
      <c r="X119" s="37">
        <v>1</v>
      </c>
      <c r="Y119" s="37">
        <v>1</v>
      </c>
      <c r="Z119" s="37">
        <v>1</v>
      </c>
      <c r="AA119" s="37">
        <v>1</v>
      </c>
      <c r="AB119" s="37"/>
      <c r="AC119" s="37"/>
      <c r="AD119" s="37">
        <v>1</v>
      </c>
      <c r="AE119" s="37">
        <v>1</v>
      </c>
      <c r="AF119" s="37">
        <v>1</v>
      </c>
      <c r="AG119" s="37">
        <v>1</v>
      </c>
      <c r="AH119" s="37">
        <v>1</v>
      </c>
      <c r="AI119" s="37">
        <v>1</v>
      </c>
      <c r="AJ119" s="50" t="s">
        <v>755</v>
      </c>
      <c r="AK119" s="50">
        <v>1</v>
      </c>
      <c r="AL119" s="50">
        <v>1</v>
      </c>
      <c r="AM119" s="50">
        <v>1</v>
      </c>
      <c r="AN119" s="50">
        <v>1</v>
      </c>
      <c r="AO119" s="50">
        <v>1</v>
      </c>
      <c r="AP119" s="50">
        <v>1</v>
      </c>
      <c r="AQ119" s="37">
        <v>1</v>
      </c>
      <c r="AR119" s="37">
        <v>1</v>
      </c>
      <c r="AS119" s="37">
        <v>1</v>
      </c>
      <c r="AT119" s="37">
        <v>1</v>
      </c>
      <c r="AU119" s="37">
        <v>1</v>
      </c>
      <c r="AV119" s="37">
        <v>1</v>
      </c>
      <c r="AW119" s="37">
        <v>1</v>
      </c>
      <c r="AX119" s="50">
        <v>1</v>
      </c>
      <c r="AY119" s="37">
        <v>1</v>
      </c>
      <c r="AZ119" s="38">
        <v>1</v>
      </c>
      <c r="BA119" s="37">
        <v>1</v>
      </c>
      <c r="BB119" s="37">
        <v>1</v>
      </c>
      <c r="BC119" s="37">
        <v>1</v>
      </c>
      <c r="BD119" s="37">
        <v>1</v>
      </c>
      <c r="BE119" s="37">
        <v>1</v>
      </c>
      <c r="BF119" s="37">
        <v>1</v>
      </c>
      <c r="BG119" s="37">
        <v>1</v>
      </c>
      <c r="BH119" s="38">
        <v>1</v>
      </c>
      <c r="BI119" s="37">
        <v>1</v>
      </c>
      <c r="BJ119" s="37">
        <v>1</v>
      </c>
      <c r="BK119" s="38">
        <v>1</v>
      </c>
      <c r="BL119" s="256">
        <v>0.38</v>
      </c>
      <c r="BM119" s="244">
        <f t="shared" si="63"/>
        <v>4.5999999999999996</v>
      </c>
      <c r="BN119" s="244">
        <f t="shared" si="64"/>
        <v>10.6</v>
      </c>
      <c r="BO119" s="244">
        <f t="shared" si="65"/>
        <v>18</v>
      </c>
      <c r="BP119" s="82">
        <v>82</v>
      </c>
      <c r="BQ119" s="159">
        <v>23</v>
      </c>
      <c r="BR119" s="123">
        <v>17</v>
      </c>
      <c r="BS119" s="109"/>
      <c r="BT119" s="123">
        <v>4</v>
      </c>
      <c r="BU119" s="121">
        <v>21</v>
      </c>
      <c r="BV119" s="179">
        <v>11</v>
      </c>
      <c r="BW119" s="184">
        <v>5</v>
      </c>
      <c r="BX119" s="183">
        <v>5</v>
      </c>
      <c r="BY119" s="144"/>
      <c r="BZ119" s="208"/>
      <c r="CA119" s="183">
        <v>10</v>
      </c>
      <c r="CB119" s="144"/>
      <c r="CC119" s="208"/>
      <c r="CD119" s="208">
        <v>10</v>
      </c>
      <c r="CE119" s="144"/>
      <c r="CF119" s="208"/>
      <c r="CG119" s="144"/>
      <c r="CH119" s="183">
        <v>20</v>
      </c>
      <c r="CI119" s="144"/>
      <c r="CJ119" s="208">
        <v>20</v>
      </c>
      <c r="CK119" s="208"/>
      <c r="CL119" s="208"/>
      <c r="CM119" s="208"/>
      <c r="CN119" s="144"/>
      <c r="CO119" s="144"/>
      <c r="CP119" s="208"/>
      <c r="CQ119" s="144">
        <v>25</v>
      </c>
      <c r="CR119" s="208">
        <v>25</v>
      </c>
      <c r="CS119" s="144"/>
      <c r="CT119" s="300"/>
    </row>
    <row r="120" spans="1:98" x14ac:dyDescent="0.25">
      <c r="A120" s="24" t="s">
        <v>112</v>
      </c>
      <c r="B120" s="18" t="s">
        <v>259</v>
      </c>
      <c r="C120" s="205">
        <v>17470000009123</v>
      </c>
      <c r="D120" s="65" t="s">
        <v>28</v>
      </c>
      <c r="E120" s="65" t="s">
        <v>29</v>
      </c>
      <c r="F120" s="2" t="s">
        <v>56</v>
      </c>
      <c r="G120" s="71" t="s">
        <v>30</v>
      </c>
      <c r="H120" s="2" t="s">
        <v>193</v>
      </c>
      <c r="I120" s="46" t="s">
        <v>465</v>
      </c>
      <c r="J120" s="46">
        <v>1</v>
      </c>
      <c r="K120" s="88" t="s">
        <v>286</v>
      </c>
      <c r="L120" s="46">
        <v>1</v>
      </c>
      <c r="M120" s="19">
        <v>1</v>
      </c>
      <c r="N120" s="78">
        <v>1</v>
      </c>
      <c r="O120" s="78">
        <v>1</v>
      </c>
      <c r="P120" s="78">
        <v>1</v>
      </c>
      <c r="Q120" s="19">
        <v>1</v>
      </c>
      <c r="R120" s="19">
        <v>1</v>
      </c>
      <c r="S120" s="19">
        <v>1</v>
      </c>
      <c r="T120" s="20">
        <v>1</v>
      </c>
      <c r="U120" s="19">
        <v>1</v>
      </c>
      <c r="V120" s="19">
        <v>1</v>
      </c>
      <c r="W120" s="46">
        <v>1</v>
      </c>
      <c r="X120" s="19"/>
      <c r="Y120" s="19"/>
      <c r="Z120" s="19"/>
      <c r="AA120" s="19"/>
      <c r="AB120" s="19"/>
      <c r="AC120" s="19"/>
      <c r="AD120" s="19"/>
      <c r="AE120" s="19">
        <v>1</v>
      </c>
      <c r="AF120" s="19">
        <v>1</v>
      </c>
      <c r="AG120" s="19">
        <v>1</v>
      </c>
      <c r="AH120" s="19">
        <v>1</v>
      </c>
      <c r="AI120" s="19">
        <v>1</v>
      </c>
      <c r="AJ120" s="46" t="s">
        <v>755</v>
      </c>
      <c r="AK120" s="46">
        <v>1</v>
      </c>
      <c r="AL120" s="46">
        <v>1</v>
      </c>
      <c r="AM120" s="46">
        <v>1</v>
      </c>
      <c r="AN120" s="46">
        <v>1</v>
      </c>
      <c r="AO120" s="46">
        <v>1</v>
      </c>
      <c r="AP120" s="46">
        <v>1</v>
      </c>
      <c r="AQ120" s="19">
        <v>1</v>
      </c>
      <c r="AR120" s="19">
        <v>1</v>
      </c>
      <c r="AS120" s="19"/>
      <c r="AT120" s="19"/>
      <c r="AU120" s="19"/>
      <c r="AV120" s="19"/>
      <c r="AW120" s="19"/>
      <c r="AY120" s="19"/>
      <c r="AZ120" s="20"/>
      <c r="BA120" s="19"/>
      <c r="BB120" s="19"/>
      <c r="BC120" s="19"/>
      <c r="BD120" s="19"/>
      <c r="BE120" s="19"/>
      <c r="BF120" s="19"/>
      <c r="BG120" s="19"/>
      <c r="BH120" s="20"/>
      <c r="BI120" s="19"/>
      <c r="BJ120" s="19"/>
      <c r="BK120" s="20"/>
      <c r="BL120" s="251">
        <v>0.3</v>
      </c>
      <c r="BM120" s="244">
        <f t="shared" si="63"/>
        <v>4.5</v>
      </c>
      <c r="BN120" s="244">
        <f t="shared" si="64"/>
        <v>10.5</v>
      </c>
      <c r="BO120" s="244">
        <f t="shared" si="65"/>
        <v>18</v>
      </c>
      <c r="BP120" s="82">
        <v>55</v>
      </c>
      <c r="BQ120" s="159">
        <v>23</v>
      </c>
      <c r="BR120" s="119" t="s">
        <v>304</v>
      </c>
      <c r="BS120" s="119">
        <v>7</v>
      </c>
      <c r="BT120" s="119">
        <v>9</v>
      </c>
      <c r="BU120" s="119">
        <v>21</v>
      </c>
      <c r="BV120" s="178">
        <v>1</v>
      </c>
      <c r="BW120" s="182">
        <v>8</v>
      </c>
      <c r="BX120" s="143"/>
      <c r="BY120" s="143"/>
      <c r="BZ120" s="203"/>
      <c r="CA120" s="143"/>
      <c r="CB120" s="181">
        <v>10</v>
      </c>
      <c r="CC120" s="203"/>
      <c r="CD120" s="203">
        <v>10</v>
      </c>
      <c r="CE120" s="143"/>
      <c r="CF120" s="203"/>
      <c r="CG120" s="143"/>
      <c r="CH120" s="181">
        <v>20</v>
      </c>
      <c r="CI120" s="143"/>
      <c r="CJ120" s="203">
        <v>20</v>
      </c>
      <c r="CK120" s="203"/>
      <c r="CL120" s="203"/>
      <c r="CM120" s="203"/>
      <c r="CN120" s="143"/>
      <c r="CO120" s="143"/>
      <c r="CP120" s="203"/>
      <c r="CQ120" s="143"/>
      <c r="CR120" s="203"/>
      <c r="CS120" s="143"/>
      <c r="CT120" s="300"/>
    </row>
    <row r="121" spans="1:98" x14ac:dyDescent="0.25">
      <c r="A121" s="24" t="s">
        <v>113</v>
      </c>
      <c r="B121" s="18" t="s">
        <v>259</v>
      </c>
      <c r="C121" s="205" t="s">
        <v>546</v>
      </c>
      <c r="D121" s="65" t="s">
        <v>28</v>
      </c>
      <c r="E121" s="65" t="s">
        <v>29</v>
      </c>
      <c r="F121" s="2" t="s">
        <v>56</v>
      </c>
      <c r="G121" s="71" t="s">
        <v>31</v>
      </c>
      <c r="H121" s="2" t="s">
        <v>194</v>
      </c>
      <c r="I121" s="46" t="s">
        <v>466</v>
      </c>
      <c r="J121" s="46">
        <v>1</v>
      </c>
      <c r="K121" s="88" t="s">
        <v>286</v>
      </c>
      <c r="L121" s="46"/>
      <c r="M121" s="19"/>
      <c r="N121" s="46"/>
      <c r="O121" s="46"/>
      <c r="P121" s="46"/>
      <c r="Q121" s="19"/>
      <c r="R121" s="19"/>
      <c r="S121" s="19"/>
      <c r="T121" s="20"/>
      <c r="U121" s="19"/>
      <c r="V121" s="19"/>
      <c r="X121" s="19">
        <v>1</v>
      </c>
      <c r="Y121" s="19">
        <v>1</v>
      </c>
      <c r="Z121" s="19">
        <v>1</v>
      </c>
      <c r="AA121" s="19">
        <v>1</v>
      </c>
      <c r="AB121" s="19"/>
      <c r="AC121" s="19"/>
      <c r="AD121" s="19">
        <v>1</v>
      </c>
      <c r="AE121" s="19"/>
      <c r="AF121" s="19"/>
      <c r="AG121" s="19"/>
      <c r="AH121" s="19"/>
      <c r="AI121" s="19"/>
      <c r="AJ121" s="19"/>
      <c r="AM121" s="46"/>
      <c r="AQ121" s="19"/>
      <c r="AR121" s="19"/>
      <c r="AS121" s="19">
        <v>1</v>
      </c>
      <c r="AT121" s="19">
        <v>1</v>
      </c>
      <c r="AU121" s="19"/>
      <c r="AV121" s="19"/>
      <c r="AW121" s="19">
        <v>1</v>
      </c>
      <c r="AX121" s="46">
        <v>1</v>
      </c>
      <c r="AY121" s="19">
        <v>1</v>
      </c>
      <c r="AZ121" s="20">
        <v>1</v>
      </c>
      <c r="BA121" s="19"/>
      <c r="BB121" s="19"/>
      <c r="BC121" s="19"/>
      <c r="BD121" s="19"/>
      <c r="BE121" s="19"/>
      <c r="BF121" s="19"/>
      <c r="BG121" s="19"/>
      <c r="BH121" s="20"/>
      <c r="BI121" s="19"/>
      <c r="BJ121" s="19"/>
      <c r="BK121" s="20"/>
      <c r="BL121" s="251">
        <v>0.41</v>
      </c>
      <c r="BM121" s="244">
        <f t="shared" si="63"/>
        <v>4.5999999999999996</v>
      </c>
      <c r="BN121" s="244">
        <f t="shared" si="64"/>
        <v>10.6</v>
      </c>
      <c r="BO121" s="244">
        <f t="shared" si="65"/>
        <v>18</v>
      </c>
      <c r="BP121" s="82">
        <v>94</v>
      </c>
      <c r="BQ121" s="159">
        <v>31</v>
      </c>
      <c r="BR121" s="106">
        <v>2</v>
      </c>
      <c r="BS121" s="119">
        <v>10</v>
      </c>
      <c r="BT121" s="119">
        <v>16</v>
      </c>
      <c r="BU121" s="119">
        <v>39</v>
      </c>
      <c r="BV121" s="178">
        <v>12</v>
      </c>
      <c r="BW121" s="182">
        <v>13</v>
      </c>
      <c r="BX121" s="181">
        <v>10</v>
      </c>
      <c r="BY121" s="143"/>
      <c r="BZ121" s="203"/>
      <c r="CA121" s="143"/>
      <c r="CB121" s="181">
        <v>10</v>
      </c>
      <c r="CC121" s="203"/>
      <c r="CD121" s="203">
        <v>10</v>
      </c>
      <c r="CE121" s="143"/>
      <c r="CF121" s="203"/>
      <c r="CG121" s="181">
        <v>5</v>
      </c>
      <c r="CH121" s="181">
        <v>10</v>
      </c>
      <c r="CI121" s="143"/>
      <c r="CJ121" s="203" t="s">
        <v>766</v>
      </c>
      <c r="CK121" s="203"/>
      <c r="CL121" s="203"/>
      <c r="CM121" s="203"/>
      <c r="CN121" s="143"/>
      <c r="CO121" s="143"/>
      <c r="CP121" s="203"/>
      <c r="CQ121" s="143">
        <v>40</v>
      </c>
      <c r="CR121" s="203">
        <v>40</v>
      </c>
      <c r="CS121" s="143"/>
      <c r="CT121" s="300"/>
    </row>
    <row r="122" spans="1:98" x14ac:dyDescent="0.25">
      <c r="A122" s="24" t="s">
        <v>114</v>
      </c>
      <c r="B122" s="18" t="s">
        <v>259</v>
      </c>
      <c r="C122" s="205">
        <v>17470000009121</v>
      </c>
      <c r="D122" s="65" t="s">
        <v>28</v>
      </c>
      <c r="E122" s="65" t="s">
        <v>29</v>
      </c>
      <c r="F122" s="2" t="s">
        <v>56</v>
      </c>
      <c r="G122" s="71" t="s">
        <v>32</v>
      </c>
      <c r="H122" s="2" t="s">
        <v>195</v>
      </c>
      <c r="I122" s="46" t="s">
        <v>467</v>
      </c>
      <c r="J122" s="46">
        <v>1</v>
      </c>
      <c r="K122" s="88" t="s">
        <v>286</v>
      </c>
      <c r="L122" s="46"/>
      <c r="M122" s="19"/>
      <c r="N122" s="46"/>
      <c r="O122" s="46"/>
      <c r="P122" s="46"/>
      <c r="Q122" s="19"/>
      <c r="R122" s="19"/>
      <c r="S122" s="19"/>
      <c r="T122" s="20"/>
      <c r="U122" s="19"/>
      <c r="V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M122" s="46"/>
      <c r="AQ122" s="19"/>
      <c r="AR122" s="19"/>
      <c r="AS122" s="19"/>
      <c r="AT122" s="19"/>
      <c r="AU122" s="19"/>
      <c r="AV122" s="19"/>
      <c r="AW122" s="19"/>
      <c r="AY122" s="19"/>
      <c r="AZ122" s="20"/>
      <c r="BA122" s="22">
        <v>1</v>
      </c>
      <c r="BB122" s="22">
        <v>1</v>
      </c>
      <c r="BC122" s="22">
        <v>1</v>
      </c>
      <c r="BD122" s="19">
        <v>1</v>
      </c>
      <c r="BE122" s="22">
        <v>1</v>
      </c>
      <c r="BF122" s="22">
        <v>1</v>
      </c>
      <c r="BG122" s="19">
        <v>1</v>
      </c>
      <c r="BH122" s="23">
        <v>1</v>
      </c>
      <c r="BI122" s="19"/>
      <c r="BJ122" s="19"/>
      <c r="BK122" s="20"/>
      <c r="BL122" s="251">
        <v>0.35099999999999998</v>
      </c>
      <c r="BM122" s="244">
        <f t="shared" si="63"/>
        <v>4.5</v>
      </c>
      <c r="BN122" s="244">
        <f t="shared" si="64"/>
        <v>10.5</v>
      </c>
      <c r="BO122" s="244">
        <f t="shared" si="65"/>
        <v>18</v>
      </c>
      <c r="BP122" s="82">
        <v>50</v>
      </c>
      <c r="BQ122" s="159">
        <v>14</v>
      </c>
      <c r="BR122" s="119" t="s">
        <v>334</v>
      </c>
      <c r="BS122" s="119">
        <v>4</v>
      </c>
      <c r="BT122" s="119">
        <v>10</v>
      </c>
      <c r="BU122" s="119">
        <v>10</v>
      </c>
      <c r="BV122" s="178">
        <v>12</v>
      </c>
      <c r="BW122" s="182">
        <v>5</v>
      </c>
      <c r="BX122" s="143"/>
      <c r="BY122" s="143"/>
      <c r="BZ122" s="203"/>
      <c r="CA122" s="181">
        <v>6</v>
      </c>
      <c r="CB122" s="143"/>
      <c r="CC122" s="203"/>
      <c r="CD122" s="203">
        <v>6</v>
      </c>
      <c r="CE122" s="181">
        <v>5</v>
      </c>
      <c r="CF122" s="203">
        <v>5</v>
      </c>
      <c r="CG122" s="143"/>
      <c r="CH122" s="181">
        <v>10</v>
      </c>
      <c r="CI122" s="143"/>
      <c r="CJ122" s="203">
        <v>10</v>
      </c>
      <c r="CK122" s="203"/>
      <c r="CL122" s="203"/>
      <c r="CM122" s="203"/>
      <c r="CN122" s="143"/>
      <c r="CO122" s="143"/>
      <c r="CP122" s="203"/>
      <c r="CQ122" s="143">
        <v>5</v>
      </c>
      <c r="CR122" s="203">
        <v>5</v>
      </c>
      <c r="CS122" s="143"/>
      <c r="CT122" s="300"/>
    </row>
    <row r="123" spans="1:98" x14ac:dyDescent="0.25">
      <c r="A123" s="24" t="s">
        <v>115</v>
      </c>
      <c r="B123" s="18" t="s">
        <v>259</v>
      </c>
      <c r="C123" s="205">
        <v>17470000009122</v>
      </c>
      <c r="D123" s="65" t="s">
        <v>28</v>
      </c>
      <c r="E123" s="65" t="s">
        <v>29</v>
      </c>
      <c r="F123" s="2" t="s">
        <v>56</v>
      </c>
      <c r="G123" s="71" t="s">
        <v>38</v>
      </c>
      <c r="H123" s="2" t="s">
        <v>651</v>
      </c>
      <c r="I123" s="46"/>
      <c r="J123" s="46"/>
      <c r="K123" s="88" t="s">
        <v>286</v>
      </c>
      <c r="L123" s="46"/>
      <c r="M123" s="19"/>
      <c r="N123" s="46"/>
      <c r="O123" s="46"/>
      <c r="P123" s="46"/>
      <c r="Q123" s="19"/>
      <c r="R123" s="19"/>
      <c r="S123" s="19"/>
      <c r="T123" s="20"/>
      <c r="U123" s="19"/>
      <c r="V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M123" s="46"/>
      <c r="AQ123" s="19"/>
      <c r="AR123" s="19"/>
      <c r="AS123" s="19"/>
      <c r="AT123" s="19"/>
      <c r="AU123" s="19">
        <v>1</v>
      </c>
      <c r="AV123" s="19">
        <v>1</v>
      </c>
      <c r="AW123" s="19"/>
      <c r="AY123" s="19"/>
      <c r="AZ123" s="20"/>
      <c r="BA123" s="19"/>
      <c r="BB123" s="19"/>
      <c r="BC123" s="19"/>
      <c r="BD123" s="19"/>
      <c r="BE123" s="19"/>
      <c r="BF123" s="19"/>
      <c r="BG123" s="19"/>
      <c r="BH123" s="20"/>
      <c r="BI123" s="19"/>
      <c r="BJ123" s="19"/>
      <c r="BK123" s="20"/>
      <c r="BL123" s="252">
        <v>0.28999999999999998</v>
      </c>
      <c r="BM123" s="244">
        <f t="shared" ref="BM123" si="75">ROUND((BL123*1.5+4)*10,0)/10</f>
        <v>4.4000000000000004</v>
      </c>
      <c r="BN123" s="244">
        <f t="shared" ref="BN123" si="76">ROUND((BL123*1.5+10)*10,0)/10</f>
        <v>10.4</v>
      </c>
      <c r="BO123" s="244">
        <f t="shared" ref="BO123" si="77">ROUND(BN123/0.7*1.22,0)</f>
        <v>18</v>
      </c>
      <c r="BP123" s="82">
        <v>1</v>
      </c>
      <c r="BQ123" s="159">
        <v>14</v>
      </c>
      <c r="BR123" s="107"/>
      <c r="BS123" s="107"/>
      <c r="BT123" s="107"/>
      <c r="BU123" s="107"/>
      <c r="BV123" s="196"/>
      <c r="BW123" s="197"/>
      <c r="BX123" s="143"/>
      <c r="BY123" s="143"/>
      <c r="BZ123" s="203"/>
      <c r="CA123" s="143"/>
      <c r="CB123" s="143"/>
      <c r="CC123" s="203"/>
      <c r="CD123" s="203"/>
      <c r="CE123" s="143"/>
      <c r="CF123" s="203"/>
      <c r="CG123" s="181">
        <v>15</v>
      </c>
      <c r="CH123" s="143"/>
      <c r="CI123" s="143"/>
      <c r="CJ123" s="203"/>
      <c r="CK123" s="203"/>
      <c r="CL123" s="203"/>
      <c r="CM123" s="203"/>
      <c r="CN123" s="181">
        <v>5</v>
      </c>
      <c r="CO123" s="143"/>
      <c r="CP123" s="203">
        <v>5</v>
      </c>
      <c r="CQ123" s="143"/>
      <c r="CR123" s="203"/>
      <c r="CS123" s="143"/>
      <c r="CT123" s="300"/>
    </row>
    <row r="124" spans="1:98" x14ac:dyDescent="0.25">
      <c r="A124" s="51" t="s">
        <v>115</v>
      </c>
      <c r="B124" s="35" t="s">
        <v>259</v>
      </c>
      <c r="C124" s="208">
        <v>17470000001543</v>
      </c>
      <c r="D124" s="67" t="s">
        <v>28</v>
      </c>
      <c r="E124" s="67" t="s">
        <v>29</v>
      </c>
      <c r="F124" s="15" t="s">
        <v>56</v>
      </c>
      <c r="G124" s="73" t="s">
        <v>37</v>
      </c>
      <c r="H124" s="15" t="s">
        <v>196</v>
      </c>
      <c r="I124" s="49"/>
      <c r="J124" s="49">
        <v>1</v>
      </c>
      <c r="K124" s="90" t="s">
        <v>286</v>
      </c>
      <c r="L124" s="49"/>
      <c r="M124" s="30"/>
      <c r="N124" s="49"/>
      <c r="O124" s="49"/>
      <c r="P124" s="49"/>
      <c r="Q124" s="30"/>
      <c r="R124" s="30"/>
      <c r="S124" s="30"/>
      <c r="T124" s="31"/>
      <c r="U124" s="30"/>
      <c r="V124" s="30"/>
      <c r="W124" s="274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274"/>
      <c r="AL124" s="274"/>
      <c r="AM124" s="49"/>
      <c r="AN124" s="274"/>
      <c r="AO124" s="274"/>
      <c r="AP124" s="274"/>
      <c r="AQ124" s="30"/>
      <c r="AR124" s="30"/>
      <c r="AS124" s="30"/>
      <c r="AT124" s="30"/>
      <c r="AU124" s="30"/>
      <c r="AV124" s="30"/>
      <c r="AW124" s="30"/>
      <c r="AX124" s="274"/>
      <c r="AY124" s="30"/>
      <c r="AZ124" s="31"/>
      <c r="BA124" s="30"/>
      <c r="BB124" s="30"/>
      <c r="BC124" s="30"/>
      <c r="BD124" s="30"/>
      <c r="BE124" s="30"/>
      <c r="BF124" s="30"/>
      <c r="BG124" s="30"/>
      <c r="BH124" s="31"/>
      <c r="BI124" s="39">
        <v>1</v>
      </c>
      <c r="BJ124" s="39">
        <v>1</v>
      </c>
      <c r="BK124" s="40">
        <v>1</v>
      </c>
      <c r="BL124" s="254">
        <v>0.36199999999999999</v>
      </c>
      <c r="BM124" s="244">
        <f t="shared" si="63"/>
        <v>4.5</v>
      </c>
      <c r="BN124" s="244">
        <f t="shared" si="64"/>
        <v>10.5</v>
      </c>
      <c r="BO124" s="244">
        <f t="shared" si="65"/>
        <v>18</v>
      </c>
      <c r="BP124" s="82">
        <v>3</v>
      </c>
      <c r="BQ124" s="159">
        <v>0</v>
      </c>
      <c r="BR124" s="108"/>
      <c r="BS124" s="108"/>
      <c r="BT124" s="138"/>
      <c r="BU124" s="138"/>
      <c r="BV124" s="144"/>
      <c r="BW124" s="171"/>
      <c r="BX124" s="144"/>
      <c r="BY124" s="144"/>
      <c r="BZ124" s="208"/>
      <c r="CA124" s="144"/>
      <c r="CB124" s="144"/>
      <c r="CC124" s="208"/>
      <c r="CD124" s="208"/>
      <c r="CE124" s="144"/>
      <c r="CF124" s="208"/>
      <c r="CG124" s="144"/>
      <c r="CH124" s="144"/>
      <c r="CI124" s="144"/>
      <c r="CJ124" s="208"/>
      <c r="CK124" s="208"/>
      <c r="CL124" s="208"/>
      <c r="CM124" s="208"/>
      <c r="CN124" s="144"/>
      <c r="CO124" s="144"/>
      <c r="CP124" s="208"/>
      <c r="CQ124" s="144"/>
      <c r="CR124" s="208"/>
      <c r="CS124" s="144"/>
      <c r="CT124" s="300"/>
    </row>
    <row r="125" spans="1:98" x14ac:dyDescent="0.25">
      <c r="A125" s="24" t="s">
        <v>78</v>
      </c>
      <c r="B125" s="18" t="s">
        <v>260</v>
      </c>
      <c r="C125" s="203">
        <v>17470000003508</v>
      </c>
      <c r="D125" s="65" t="s">
        <v>28</v>
      </c>
      <c r="E125" s="65" t="s">
        <v>29</v>
      </c>
      <c r="F125" s="2" t="s">
        <v>57</v>
      </c>
      <c r="G125" s="71" t="s">
        <v>30</v>
      </c>
      <c r="H125" s="2" t="s">
        <v>197</v>
      </c>
      <c r="I125" s="46" t="s">
        <v>468</v>
      </c>
      <c r="J125" s="46">
        <v>1</v>
      </c>
      <c r="K125" s="88" t="s">
        <v>287</v>
      </c>
      <c r="L125" s="46">
        <v>1</v>
      </c>
      <c r="M125" s="19">
        <v>1</v>
      </c>
      <c r="N125" s="78">
        <v>1</v>
      </c>
      <c r="O125" s="78">
        <v>1</v>
      </c>
      <c r="P125" s="78">
        <v>1</v>
      </c>
      <c r="Q125" s="19">
        <v>1</v>
      </c>
      <c r="R125" s="19">
        <v>1</v>
      </c>
      <c r="S125" s="19">
        <v>1</v>
      </c>
      <c r="T125" s="20">
        <v>1</v>
      </c>
      <c r="U125" s="19">
        <v>1</v>
      </c>
      <c r="V125" s="19">
        <v>1</v>
      </c>
      <c r="W125" s="46">
        <v>1</v>
      </c>
      <c r="X125" s="19"/>
      <c r="Y125" s="19"/>
      <c r="Z125" s="19"/>
      <c r="AA125" s="19"/>
      <c r="AB125" s="19"/>
      <c r="AC125" s="19"/>
      <c r="AD125" s="19"/>
      <c r="AE125" s="19">
        <v>1</v>
      </c>
      <c r="AF125" s="19">
        <v>1</v>
      </c>
      <c r="AG125" s="19">
        <v>1</v>
      </c>
      <c r="AH125" s="19">
        <v>1</v>
      </c>
      <c r="AI125" s="19">
        <v>1</v>
      </c>
      <c r="AJ125" s="46" t="s">
        <v>755</v>
      </c>
      <c r="AK125" s="46">
        <v>1</v>
      </c>
      <c r="AL125" s="46">
        <v>1</v>
      </c>
      <c r="AM125" s="46">
        <v>1</v>
      </c>
      <c r="AN125" s="46">
        <v>1</v>
      </c>
      <c r="AO125" s="46">
        <v>1</v>
      </c>
      <c r="AP125" s="46">
        <v>1</v>
      </c>
      <c r="AQ125" s="19">
        <v>1</v>
      </c>
      <c r="AR125" s="19">
        <v>1</v>
      </c>
      <c r="AS125" s="19"/>
      <c r="AT125" s="19"/>
      <c r="AU125" s="19"/>
      <c r="AV125" s="19"/>
      <c r="AW125" s="19"/>
      <c r="AY125" s="19"/>
      <c r="AZ125" s="20"/>
      <c r="BA125" s="19"/>
      <c r="BB125" s="19"/>
      <c r="BC125" s="19"/>
      <c r="BD125" s="19"/>
      <c r="BE125" s="19"/>
      <c r="BF125" s="19"/>
      <c r="BG125" s="19"/>
      <c r="BH125" s="20"/>
      <c r="BI125" s="19"/>
      <c r="BJ125" s="19"/>
      <c r="BK125" s="20"/>
      <c r="BL125" s="251">
        <v>10.61</v>
      </c>
      <c r="BM125" s="244">
        <f t="shared" si="63"/>
        <v>19.899999999999999</v>
      </c>
      <c r="BN125" s="244">
        <f t="shared" si="64"/>
        <v>25.9</v>
      </c>
      <c r="BO125" s="244">
        <f t="shared" si="65"/>
        <v>45</v>
      </c>
      <c r="BP125" s="82">
        <v>27</v>
      </c>
      <c r="BQ125" s="159">
        <v>16</v>
      </c>
      <c r="BR125" s="105"/>
      <c r="BS125" s="119">
        <v>6</v>
      </c>
      <c r="BT125" s="119">
        <v>7</v>
      </c>
      <c r="BU125" s="119">
        <v>4</v>
      </c>
      <c r="BV125" s="181">
        <v>5</v>
      </c>
      <c r="BW125" s="182">
        <v>1</v>
      </c>
      <c r="BX125" s="181">
        <v>5</v>
      </c>
      <c r="BY125" s="143"/>
      <c r="BZ125" s="203"/>
      <c r="CA125" s="143"/>
      <c r="CB125" s="181">
        <v>5</v>
      </c>
      <c r="CC125" s="203"/>
      <c r="CD125" s="203">
        <v>5</v>
      </c>
      <c r="CE125" s="143"/>
      <c r="CF125" s="203"/>
      <c r="CG125" s="143"/>
      <c r="CH125" s="181">
        <v>5</v>
      </c>
      <c r="CI125" s="143"/>
      <c r="CJ125" s="203">
        <v>5</v>
      </c>
      <c r="CK125" s="203"/>
      <c r="CL125" s="203"/>
      <c r="CM125" s="203"/>
      <c r="CN125" s="143"/>
      <c r="CO125" s="143"/>
      <c r="CP125" s="203"/>
      <c r="CQ125" s="143"/>
      <c r="CR125" s="203"/>
      <c r="CS125" s="143"/>
      <c r="CT125" s="300"/>
    </row>
    <row r="126" spans="1:98" x14ac:dyDescent="0.25">
      <c r="A126" s="24" t="s">
        <v>78</v>
      </c>
      <c r="B126" s="18" t="s">
        <v>515</v>
      </c>
      <c r="C126" s="203">
        <v>17170000033404</v>
      </c>
      <c r="D126" s="65" t="s">
        <v>28</v>
      </c>
      <c r="E126" s="65" t="s">
        <v>29</v>
      </c>
      <c r="F126" s="2" t="s">
        <v>57</v>
      </c>
      <c r="G126" s="71" t="s">
        <v>39</v>
      </c>
      <c r="H126" s="1" t="s">
        <v>516</v>
      </c>
      <c r="I126" s="46"/>
      <c r="J126" s="46">
        <v>1</v>
      </c>
      <c r="K126" s="88" t="s">
        <v>287</v>
      </c>
      <c r="L126" s="46"/>
      <c r="M126" s="19"/>
      <c r="N126" s="46"/>
      <c r="O126" s="46"/>
      <c r="P126" s="46"/>
      <c r="Q126" s="19"/>
      <c r="R126" s="19"/>
      <c r="S126" s="19"/>
      <c r="T126" s="20"/>
      <c r="U126" s="19"/>
      <c r="V126" s="19"/>
      <c r="X126" s="19"/>
      <c r="Y126" s="19"/>
      <c r="Z126" s="19"/>
      <c r="AA126" s="19"/>
      <c r="AB126" s="19">
        <v>1</v>
      </c>
      <c r="AC126" s="19">
        <v>1</v>
      </c>
      <c r="AD126" s="19"/>
      <c r="AE126" s="19"/>
      <c r="AF126" s="19"/>
      <c r="AG126" s="19"/>
      <c r="AH126" s="19"/>
      <c r="AI126" s="19"/>
      <c r="AJ126" s="19"/>
      <c r="AM126" s="46"/>
      <c r="AQ126" s="19"/>
      <c r="AR126" s="19"/>
      <c r="AS126" s="19"/>
      <c r="AT126" s="19"/>
      <c r="AU126" s="19"/>
      <c r="AV126" s="19"/>
      <c r="AW126" s="19"/>
      <c r="AY126" s="19"/>
      <c r="AZ126" s="20"/>
      <c r="BA126" s="19"/>
      <c r="BB126" s="19"/>
      <c r="BC126" s="19"/>
      <c r="BD126" s="19"/>
      <c r="BE126" s="19"/>
      <c r="BF126" s="19"/>
      <c r="BG126" s="19"/>
      <c r="BH126" s="20"/>
      <c r="BI126" s="19"/>
      <c r="BJ126" s="19"/>
      <c r="BK126" s="20"/>
      <c r="BL126" s="252">
        <v>23.17</v>
      </c>
      <c r="BM126" s="244">
        <f t="shared" si="63"/>
        <v>38.799999999999997</v>
      </c>
      <c r="BN126" s="244">
        <f t="shared" si="64"/>
        <v>44.8</v>
      </c>
      <c r="BO126" s="244">
        <f t="shared" si="65"/>
        <v>78</v>
      </c>
      <c r="BP126" s="248">
        <v>76</v>
      </c>
      <c r="BQ126" s="159">
        <v>61</v>
      </c>
      <c r="BR126" s="105"/>
      <c r="BS126" s="107"/>
      <c r="BT126" s="107"/>
      <c r="BU126" s="107"/>
      <c r="BV126" s="196"/>
      <c r="BW126" s="197"/>
      <c r="BX126" s="143"/>
      <c r="BY126" s="181">
        <v>7</v>
      </c>
      <c r="BZ126" s="203">
        <v>7</v>
      </c>
      <c r="CA126" s="143"/>
      <c r="CB126" s="181">
        <v>28</v>
      </c>
      <c r="CC126" s="203"/>
      <c r="CD126" s="203">
        <v>28</v>
      </c>
      <c r="CE126" s="181">
        <v>100</v>
      </c>
      <c r="CF126" s="203">
        <v>100</v>
      </c>
      <c r="CG126" s="143"/>
      <c r="CH126" s="181">
        <v>80</v>
      </c>
      <c r="CI126" s="143"/>
      <c r="CJ126" s="203">
        <v>56</v>
      </c>
      <c r="CK126" s="203"/>
      <c r="CL126" s="203">
        <v>24</v>
      </c>
      <c r="CM126" s="203"/>
      <c r="CN126" s="181">
        <v>60</v>
      </c>
      <c r="CO126" s="143"/>
      <c r="CP126" s="203">
        <v>60</v>
      </c>
      <c r="CQ126" s="143">
        <v>50</v>
      </c>
      <c r="CR126" s="203">
        <v>50</v>
      </c>
      <c r="CS126" s="143"/>
      <c r="CT126" s="300"/>
    </row>
    <row r="127" spans="1:98" x14ac:dyDescent="0.25">
      <c r="A127" s="24" t="s">
        <v>79</v>
      </c>
      <c r="B127" s="18" t="s">
        <v>260</v>
      </c>
      <c r="C127" s="203">
        <v>17470000003624</v>
      </c>
      <c r="D127" s="65" t="s">
        <v>28</v>
      </c>
      <c r="E127" s="65" t="s">
        <v>29</v>
      </c>
      <c r="F127" s="2" t="s">
        <v>57</v>
      </c>
      <c r="G127" s="71" t="s">
        <v>31</v>
      </c>
      <c r="H127" s="2" t="s">
        <v>198</v>
      </c>
      <c r="I127" s="46" t="s">
        <v>469</v>
      </c>
      <c r="J127" s="46">
        <v>1</v>
      </c>
      <c r="K127" s="88" t="s">
        <v>287</v>
      </c>
      <c r="L127" s="46"/>
      <c r="M127" s="19"/>
      <c r="N127" s="46"/>
      <c r="O127" s="46"/>
      <c r="P127" s="46"/>
      <c r="Q127" s="19"/>
      <c r="R127" s="19"/>
      <c r="S127" s="19"/>
      <c r="T127" s="20"/>
      <c r="U127" s="19"/>
      <c r="V127" s="19"/>
      <c r="X127" s="19">
        <v>1</v>
      </c>
      <c r="Y127" s="19">
        <v>1</v>
      </c>
      <c r="Z127" s="27">
        <v>1</v>
      </c>
      <c r="AA127" s="19">
        <v>1</v>
      </c>
      <c r="AB127" s="19"/>
      <c r="AC127" s="19"/>
      <c r="AD127" s="19">
        <v>1</v>
      </c>
      <c r="AE127" s="19"/>
      <c r="AF127" s="19"/>
      <c r="AG127" s="19"/>
      <c r="AH127" s="19"/>
      <c r="AI127" s="19"/>
      <c r="AJ127" s="19"/>
      <c r="AM127" s="46"/>
      <c r="AQ127" s="19"/>
      <c r="AR127" s="19"/>
      <c r="AS127" s="19">
        <v>1</v>
      </c>
      <c r="AT127" s="19">
        <v>1</v>
      </c>
      <c r="AU127" s="19"/>
      <c r="AV127" s="19"/>
      <c r="AW127" s="19">
        <v>1</v>
      </c>
      <c r="AX127" s="46">
        <v>1</v>
      </c>
      <c r="AY127" s="19">
        <v>1</v>
      </c>
      <c r="AZ127" s="20"/>
      <c r="BA127" s="19"/>
      <c r="BB127" s="19"/>
      <c r="BC127" s="19"/>
      <c r="BD127" s="19">
        <v>1</v>
      </c>
      <c r="BE127" s="19"/>
      <c r="BF127" s="19"/>
      <c r="BG127" s="19">
        <v>1</v>
      </c>
      <c r="BH127" s="20"/>
      <c r="BI127" s="19"/>
      <c r="BJ127" s="19"/>
      <c r="BK127" s="20"/>
      <c r="BL127" s="251">
        <v>12.36</v>
      </c>
      <c r="BM127" s="244">
        <f t="shared" si="63"/>
        <v>22.5</v>
      </c>
      <c r="BN127" s="244">
        <f t="shared" si="64"/>
        <v>28.5</v>
      </c>
      <c r="BO127" s="244">
        <f t="shared" si="65"/>
        <v>50</v>
      </c>
      <c r="BP127" s="82">
        <v>41</v>
      </c>
      <c r="BQ127" s="159">
        <v>18</v>
      </c>
      <c r="BR127" s="105"/>
      <c r="BS127" s="105"/>
      <c r="BT127" s="119">
        <v>5</v>
      </c>
      <c r="BU127" s="119">
        <v>4</v>
      </c>
      <c r="BV127" s="181">
        <v>3</v>
      </c>
      <c r="BW127" s="182">
        <v>5</v>
      </c>
      <c r="BX127" s="181">
        <v>7</v>
      </c>
      <c r="BY127" s="181">
        <v>5</v>
      </c>
      <c r="BZ127" s="203">
        <v>5</v>
      </c>
      <c r="CA127" s="181">
        <v>6</v>
      </c>
      <c r="CB127" s="181">
        <v>5</v>
      </c>
      <c r="CC127" s="203"/>
      <c r="CD127" s="203">
        <v>11</v>
      </c>
      <c r="CE127" s="143"/>
      <c r="CF127" s="203"/>
      <c r="CG127" s="143"/>
      <c r="CH127" s="143"/>
      <c r="CI127" s="143"/>
      <c r="CJ127" s="203"/>
      <c r="CK127" s="203"/>
      <c r="CL127" s="203"/>
      <c r="CM127" s="203"/>
      <c r="CN127" s="181">
        <v>10</v>
      </c>
      <c r="CO127" s="181">
        <v>5</v>
      </c>
      <c r="CP127" s="203">
        <v>15</v>
      </c>
      <c r="CQ127" s="143">
        <v>20</v>
      </c>
      <c r="CR127" s="203">
        <v>20</v>
      </c>
      <c r="CS127" s="143"/>
      <c r="CT127" s="300"/>
    </row>
    <row r="128" spans="1:98" x14ac:dyDescent="0.25">
      <c r="A128" s="24" t="s">
        <v>79</v>
      </c>
      <c r="B128" s="18" t="s">
        <v>260</v>
      </c>
      <c r="C128" s="203">
        <v>17470000004230</v>
      </c>
      <c r="D128" s="65" t="s">
        <v>28</v>
      </c>
      <c r="E128" s="65" t="s">
        <v>29</v>
      </c>
      <c r="F128" s="2" t="s">
        <v>57</v>
      </c>
      <c r="G128" s="71" t="s">
        <v>32</v>
      </c>
      <c r="H128" s="2" t="s">
        <v>199</v>
      </c>
      <c r="I128" s="46" t="s">
        <v>470</v>
      </c>
      <c r="J128" s="46">
        <v>1</v>
      </c>
      <c r="K128" s="88" t="s">
        <v>287</v>
      </c>
      <c r="L128" s="46"/>
      <c r="M128" s="19"/>
      <c r="N128" s="46"/>
      <c r="O128" s="46"/>
      <c r="P128" s="46"/>
      <c r="Q128" s="19"/>
      <c r="R128" s="19"/>
      <c r="S128" s="19"/>
      <c r="T128" s="20"/>
      <c r="U128" s="19"/>
      <c r="V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M128" s="46"/>
      <c r="AQ128" s="19"/>
      <c r="AR128" s="19"/>
      <c r="AS128" s="19"/>
      <c r="AT128" s="19"/>
      <c r="AU128" s="19"/>
      <c r="AV128" s="19"/>
      <c r="AW128" s="19"/>
      <c r="AY128" s="19"/>
      <c r="AZ128" s="23">
        <v>1</v>
      </c>
      <c r="BA128" s="22">
        <v>1</v>
      </c>
      <c r="BB128" s="22">
        <v>1</v>
      </c>
      <c r="BC128" s="27">
        <v>1</v>
      </c>
      <c r="BD128" s="19"/>
      <c r="BE128" s="27">
        <v>1</v>
      </c>
      <c r="BF128" s="22">
        <v>1</v>
      </c>
      <c r="BG128" s="19"/>
      <c r="BH128" s="28">
        <v>1</v>
      </c>
      <c r="BI128" s="19"/>
      <c r="BJ128" s="19"/>
      <c r="BK128" s="20"/>
      <c r="BL128" s="251">
        <v>14.61</v>
      </c>
      <c r="BM128" s="244">
        <f t="shared" si="63"/>
        <v>25.9</v>
      </c>
      <c r="BN128" s="244">
        <f t="shared" si="64"/>
        <v>31.9</v>
      </c>
      <c r="BO128" s="244">
        <f t="shared" si="65"/>
        <v>56</v>
      </c>
      <c r="BP128" s="82">
        <v>30</v>
      </c>
      <c r="BQ128" s="159">
        <v>15</v>
      </c>
      <c r="BR128" s="119" t="s">
        <v>335</v>
      </c>
      <c r="BS128" s="107"/>
      <c r="BT128" s="137"/>
      <c r="BU128" s="119">
        <v>4</v>
      </c>
      <c r="BV128" s="181">
        <v>2</v>
      </c>
      <c r="BW128" s="182">
        <v>5</v>
      </c>
      <c r="BX128" s="181">
        <v>5</v>
      </c>
      <c r="BY128" s="143"/>
      <c r="BZ128" s="203"/>
      <c r="CA128" s="143"/>
      <c r="CB128" s="181">
        <v>5</v>
      </c>
      <c r="CC128" s="203"/>
      <c r="CD128" s="203">
        <v>5</v>
      </c>
      <c r="CE128" s="181">
        <v>10</v>
      </c>
      <c r="CF128" s="203">
        <v>10</v>
      </c>
      <c r="CG128" s="143"/>
      <c r="CH128" s="143"/>
      <c r="CI128" s="143"/>
      <c r="CJ128" s="203"/>
      <c r="CK128" s="203"/>
      <c r="CL128" s="203"/>
      <c r="CM128" s="203"/>
      <c r="CN128" s="143"/>
      <c r="CO128" s="143"/>
      <c r="CP128" s="203"/>
      <c r="CQ128" s="143"/>
      <c r="CR128" s="203"/>
      <c r="CS128" s="143"/>
      <c r="CT128" s="300"/>
    </row>
    <row r="129" spans="1:98" x14ac:dyDescent="0.25">
      <c r="A129" s="24" t="s">
        <v>80</v>
      </c>
      <c r="B129" s="18" t="s">
        <v>260</v>
      </c>
      <c r="C129" s="203">
        <v>17470000003528</v>
      </c>
      <c r="D129" s="65" t="s">
        <v>28</v>
      </c>
      <c r="E129" s="65" t="s">
        <v>29</v>
      </c>
      <c r="F129" s="2" t="s">
        <v>57</v>
      </c>
      <c r="G129" s="71" t="s">
        <v>37</v>
      </c>
      <c r="H129" s="2" t="s">
        <v>200</v>
      </c>
      <c r="I129" s="46" t="s">
        <v>471</v>
      </c>
      <c r="J129" s="46">
        <v>1</v>
      </c>
      <c r="K129" s="88" t="s">
        <v>287</v>
      </c>
      <c r="L129" s="46"/>
      <c r="M129" s="19"/>
      <c r="N129" s="46"/>
      <c r="O129" s="46"/>
      <c r="P129" s="46"/>
      <c r="Q129" s="19"/>
      <c r="R129" s="19"/>
      <c r="S129" s="19"/>
      <c r="T129" s="20"/>
      <c r="U129" s="19"/>
      <c r="V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M129" s="46"/>
      <c r="AQ129" s="19"/>
      <c r="AR129" s="19"/>
      <c r="AS129" s="19"/>
      <c r="AT129" s="19"/>
      <c r="AU129" s="19">
        <v>1</v>
      </c>
      <c r="AV129" s="19">
        <v>1</v>
      </c>
      <c r="AW129" s="19"/>
      <c r="AY129" s="19"/>
      <c r="AZ129" s="20"/>
      <c r="BA129" s="19"/>
      <c r="BB129" s="19"/>
      <c r="BC129" s="19"/>
      <c r="BD129" s="19"/>
      <c r="BE129" s="19"/>
      <c r="BF129" s="19"/>
      <c r="BG129" s="19"/>
      <c r="BH129" s="20"/>
      <c r="BI129" s="19">
        <v>1</v>
      </c>
      <c r="BJ129" s="19">
        <v>1</v>
      </c>
      <c r="BK129" s="20"/>
      <c r="BL129" s="251">
        <v>9.9700000000000006</v>
      </c>
      <c r="BM129" s="244">
        <f t="shared" si="63"/>
        <v>19</v>
      </c>
      <c r="BN129" s="244">
        <f t="shared" si="64"/>
        <v>25</v>
      </c>
      <c r="BO129" s="244">
        <f t="shared" si="65"/>
        <v>44</v>
      </c>
      <c r="BP129" s="82">
        <v>2</v>
      </c>
      <c r="BQ129" s="159">
        <v>8</v>
      </c>
      <c r="BR129" s="119" t="s">
        <v>303</v>
      </c>
      <c r="BS129" s="107"/>
      <c r="BT129" s="137"/>
      <c r="BU129" s="137"/>
      <c r="BV129" s="143"/>
      <c r="BW129" s="170"/>
      <c r="BX129" s="143"/>
      <c r="BY129" s="143"/>
      <c r="BZ129" s="203"/>
      <c r="CA129" s="143"/>
      <c r="CB129" s="143"/>
      <c r="CC129" s="203"/>
      <c r="CD129" s="203"/>
      <c r="CE129" s="143"/>
      <c r="CF129" s="203"/>
      <c r="CG129" s="143"/>
      <c r="CH129" s="143"/>
      <c r="CI129" s="143"/>
      <c r="CJ129" s="203"/>
      <c r="CK129" s="203"/>
      <c r="CL129" s="203"/>
      <c r="CM129" s="203"/>
      <c r="CN129" s="143"/>
      <c r="CO129" s="143"/>
      <c r="CP129" s="203"/>
      <c r="CQ129" s="143"/>
      <c r="CR129" s="203"/>
      <c r="CS129" s="143"/>
      <c r="CT129" s="300"/>
    </row>
    <row r="130" spans="1:98" x14ac:dyDescent="0.25">
      <c r="A130" s="51" t="s">
        <v>80</v>
      </c>
      <c r="B130" s="35" t="s">
        <v>260</v>
      </c>
      <c r="C130" s="208">
        <v>17470000003517</v>
      </c>
      <c r="D130" s="67" t="s">
        <v>28</v>
      </c>
      <c r="E130" s="67" t="s">
        <v>29</v>
      </c>
      <c r="F130" s="15" t="s">
        <v>57</v>
      </c>
      <c r="G130" s="73" t="s">
        <v>38</v>
      </c>
      <c r="H130" s="15" t="s">
        <v>201</v>
      </c>
      <c r="I130" s="49"/>
      <c r="J130" s="49">
        <v>1</v>
      </c>
      <c r="K130" s="90" t="s">
        <v>287</v>
      </c>
      <c r="L130" s="49"/>
      <c r="M130" s="30"/>
      <c r="N130" s="49"/>
      <c r="O130" s="49"/>
      <c r="P130" s="49"/>
      <c r="Q130" s="30"/>
      <c r="R130" s="30"/>
      <c r="S130" s="30"/>
      <c r="T130" s="31"/>
      <c r="U130" s="30"/>
      <c r="V130" s="30"/>
      <c r="W130" s="274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274"/>
      <c r="AL130" s="274"/>
      <c r="AM130" s="49"/>
      <c r="AN130" s="274"/>
      <c r="AO130" s="274"/>
      <c r="AP130" s="274"/>
      <c r="AQ130" s="30"/>
      <c r="AR130" s="30"/>
      <c r="AS130" s="30"/>
      <c r="AT130" s="30"/>
      <c r="AU130" s="30"/>
      <c r="AV130" s="30"/>
      <c r="AW130" s="30"/>
      <c r="AX130" s="274"/>
      <c r="AY130" s="30"/>
      <c r="AZ130" s="31"/>
      <c r="BA130" s="30"/>
      <c r="BB130" s="30"/>
      <c r="BC130" s="30"/>
      <c r="BD130" s="30"/>
      <c r="BE130" s="30"/>
      <c r="BF130" s="30"/>
      <c r="BG130" s="30"/>
      <c r="BH130" s="31"/>
      <c r="BI130" s="30"/>
      <c r="BJ130" s="30"/>
      <c r="BK130" s="40">
        <v>1</v>
      </c>
      <c r="BL130" s="254">
        <v>11.058</v>
      </c>
      <c r="BM130" s="244">
        <f t="shared" si="63"/>
        <v>20.6</v>
      </c>
      <c r="BN130" s="244">
        <f t="shared" si="64"/>
        <v>26.6</v>
      </c>
      <c r="BO130" s="244">
        <f t="shared" si="65"/>
        <v>46</v>
      </c>
      <c r="BP130" s="82">
        <v>1</v>
      </c>
      <c r="BQ130" s="159">
        <v>0</v>
      </c>
      <c r="BR130" s="121">
        <v>1</v>
      </c>
      <c r="BS130" s="109"/>
      <c r="BT130" s="138"/>
      <c r="BU130" s="138"/>
      <c r="BV130" s="144"/>
      <c r="BW130" s="171"/>
      <c r="BX130" s="144"/>
      <c r="BY130" s="144"/>
      <c r="BZ130" s="208"/>
      <c r="CA130" s="144"/>
      <c r="CB130" s="144"/>
      <c r="CC130" s="208"/>
      <c r="CD130" s="208"/>
      <c r="CE130" s="144"/>
      <c r="CF130" s="208"/>
      <c r="CG130" s="144"/>
      <c r="CH130" s="144"/>
      <c r="CI130" s="144"/>
      <c r="CJ130" s="208"/>
      <c r="CK130" s="208"/>
      <c r="CL130" s="208"/>
      <c r="CM130" s="208"/>
      <c r="CN130" s="144"/>
      <c r="CO130" s="144"/>
      <c r="CP130" s="208"/>
      <c r="CQ130" s="144"/>
      <c r="CR130" s="208"/>
      <c r="CS130" s="144"/>
      <c r="CT130" s="300"/>
    </row>
    <row r="131" spans="1:98" x14ac:dyDescent="0.25">
      <c r="A131" s="24" t="s">
        <v>49</v>
      </c>
      <c r="B131" s="18" t="s">
        <v>261</v>
      </c>
      <c r="C131" s="203">
        <v>17470000001071</v>
      </c>
      <c r="D131" s="65" t="s">
        <v>28</v>
      </c>
      <c r="E131" s="65" t="s">
        <v>29</v>
      </c>
      <c r="F131" s="2" t="s">
        <v>58</v>
      </c>
      <c r="G131" s="71" t="s">
        <v>30</v>
      </c>
      <c r="H131" s="2" t="s">
        <v>202</v>
      </c>
      <c r="I131" s="46" t="s">
        <v>472</v>
      </c>
      <c r="J131" s="46">
        <v>1</v>
      </c>
      <c r="K131" s="88" t="s">
        <v>288</v>
      </c>
      <c r="L131" s="46"/>
      <c r="M131" s="19"/>
      <c r="N131" s="46"/>
      <c r="O131" s="46"/>
      <c r="P131" s="46"/>
      <c r="Q131" s="22">
        <v>0</v>
      </c>
      <c r="R131" s="22">
        <v>0</v>
      </c>
      <c r="S131" s="19"/>
      <c r="T131" s="20"/>
      <c r="U131" s="19"/>
      <c r="V131" s="19"/>
      <c r="X131" s="19"/>
      <c r="Y131" s="19"/>
      <c r="Z131" s="19"/>
      <c r="AA131" s="19"/>
      <c r="AB131" s="19"/>
      <c r="AC131" s="19"/>
      <c r="AD131" s="22">
        <v>0</v>
      </c>
      <c r="AE131" s="19"/>
      <c r="AF131" s="19"/>
      <c r="AG131" s="19"/>
      <c r="AH131" s="19"/>
      <c r="AI131" s="19"/>
      <c r="AJ131" s="19"/>
      <c r="AM131" s="46"/>
      <c r="AQ131" s="19"/>
      <c r="AR131" s="19"/>
      <c r="AS131" s="19"/>
      <c r="AT131" s="19"/>
      <c r="AU131" s="19"/>
      <c r="AV131" s="19"/>
      <c r="AW131" s="22">
        <v>0</v>
      </c>
      <c r="AX131" s="276"/>
      <c r="AY131" s="22">
        <v>0</v>
      </c>
      <c r="AZ131" s="20"/>
      <c r="BA131" s="19">
        <v>1</v>
      </c>
      <c r="BB131" s="19">
        <v>1</v>
      </c>
      <c r="BC131" s="27">
        <v>1</v>
      </c>
      <c r="BD131" s="19">
        <v>1</v>
      </c>
      <c r="BE131" s="27">
        <v>1</v>
      </c>
      <c r="BF131" s="19">
        <v>1</v>
      </c>
      <c r="BG131" s="19">
        <v>1</v>
      </c>
      <c r="BH131" s="28">
        <v>1</v>
      </c>
      <c r="BI131" s="19"/>
      <c r="BJ131" s="19"/>
      <c r="BK131" s="20"/>
      <c r="BL131" s="251">
        <v>2.31</v>
      </c>
      <c r="BM131" s="244">
        <f t="shared" si="63"/>
        <v>7.5</v>
      </c>
      <c r="BN131" s="244">
        <f t="shared" si="64"/>
        <v>13.5</v>
      </c>
      <c r="BO131" s="244">
        <f t="shared" si="65"/>
        <v>24</v>
      </c>
      <c r="BP131" s="82">
        <v>8</v>
      </c>
      <c r="BQ131" s="159">
        <v>8</v>
      </c>
      <c r="BR131" s="105"/>
      <c r="BS131" s="119">
        <v>2</v>
      </c>
      <c r="BT131" s="119">
        <v>1</v>
      </c>
      <c r="BU131" s="119">
        <v>6</v>
      </c>
      <c r="BV131" s="143"/>
      <c r="BW131" s="170"/>
      <c r="BX131" s="181">
        <v>5</v>
      </c>
      <c r="BY131" s="143"/>
      <c r="BZ131" s="203"/>
      <c r="CA131" s="143"/>
      <c r="CB131" s="143"/>
      <c r="CC131" s="203"/>
      <c r="CD131" s="203"/>
      <c r="CE131" s="143"/>
      <c r="CF131" s="203"/>
      <c r="CG131" s="143"/>
      <c r="CH131" s="143"/>
      <c r="CI131" s="143"/>
      <c r="CJ131" s="203"/>
      <c r="CK131" s="203"/>
      <c r="CL131" s="203"/>
      <c r="CM131" s="203"/>
      <c r="CN131" s="143"/>
      <c r="CO131" s="143"/>
      <c r="CP131" s="203"/>
      <c r="CQ131" s="143"/>
      <c r="CR131" s="203"/>
      <c r="CS131" s="143"/>
      <c r="CT131" s="300"/>
    </row>
    <row r="132" spans="1:98" x14ac:dyDescent="0.25">
      <c r="A132" s="24" t="s">
        <v>49</v>
      </c>
      <c r="B132" s="18" t="s">
        <v>261</v>
      </c>
      <c r="C132" s="203">
        <v>17470000001056</v>
      </c>
      <c r="D132" s="65" t="s">
        <v>28</v>
      </c>
      <c r="E132" s="65" t="s">
        <v>29</v>
      </c>
      <c r="F132" s="2" t="s">
        <v>58</v>
      </c>
      <c r="G132" s="71" t="s">
        <v>31</v>
      </c>
      <c r="H132" s="2" t="s">
        <v>203</v>
      </c>
      <c r="I132" s="46"/>
      <c r="J132" s="46">
        <v>1</v>
      </c>
      <c r="K132" s="88" t="s">
        <v>288</v>
      </c>
      <c r="L132" s="46"/>
      <c r="M132" s="19"/>
      <c r="N132" s="46"/>
      <c r="O132" s="46"/>
      <c r="P132" s="46"/>
      <c r="Q132" s="19"/>
      <c r="R132" s="19"/>
      <c r="S132" s="19"/>
      <c r="T132" s="20"/>
      <c r="U132" s="19"/>
      <c r="V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M132" s="46"/>
      <c r="AQ132" s="19"/>
      <c r="AR132" s="19"/>
      <c r="AS132" s="19"/>
      <c r="AT132" s="19"/>
      <c r="AU132" s="19"/>
      <c r="AV132" s="19"/>
      <c r="AW132" s="19"/>
      <c r="AY132" s="19"/>
      <c r="AZ132" s="20"/>
      <c r="BA132" s="19"/>
      <c r="BB132" s="19"/>
      <c r="BC132" s="19"/>
      <c r="BD132" s="19"/>
      <c r="BE132" s="19"/>
      <c r="BF132" s="19"/>
      <c r="BG132" s="19"/>
      <c r="BH132" s="20"/>
      <c r="BI132" s="19"/>
      <c r="BJ132" s="19"/>
      <c r="BK132" s="23">
        <v>1</v>
      </c>
      <c r="BL132" s="251">
        <v>2.464</v>
      </c>
      <c r="BM132" s="244">
        <f t="shared" si="63"/>
        <v>7.7</v>
      </c>
      <c r="BN132" s="244">
        <f t="shared" si="64"/>
        <v>13.7</v>
      </c>
      <c r="BO132" s="244">
        <f t="shared" si="65"/>
        <v>24</v>
      </c>
      <c r="BP132" s="82">
        <v>1</v>
      </c>
      <c r="BQ132" s="159">
        <v>0</v>
      </c>
      <c r="BR132" s="119">
        <v>1</v>
      </c>
      <c r="BS132" s="107"/>
      <c r="BT132" s="137"/>
      <c r="BU132" s="137"/>
      <c r="BV132" s="143"/>
      <c r="BW132" s="170"/>
      <c r="BX132" s="143"/>
      <c r="BY132" s="143"/>
      <c r="BZ132" s="203"/>
      <c r="CA132" s="143"/>
      <c r="CB132" s="143"/>
      <c r="CC132" s="203"/>
      <c r="CD132" s="203"/>
      <c r="CE132" s="143"/>
      <c r="CF132" s="203"/>
      <c r="CG132" s="143"/>
      <c r="CH132" s="143"/>
      <c r="CI132" s="143"/>
      <c r="CJ132" s="203"/>
      <c r="CK132" s="203"/>
      <c r="CL132" s="203"/>
      <c r="CM132" s="203"/>
      <c r="CN132" s="143"/>
      <c r="CO132" s="143"/>
      <c r="CP132" s="203"/>
      <c r="CQ132" s="143"/>
      <c r="CR132" s="203"/>
      <c r="CS132" s="143"/>
      <c r="CT132" s="300"/>
    </row>
    <row r="133" spans="1:98" x14ac:dyDescent="0.25">
      <c r="A133" s="24" t="s">
        <v>49</v>
      </c>
      <c r="B133" s="18" t="s">
        <v>656</v>
      </c>
      <c r="C133" s="203">
        <v>12270000035113</v>
      </c>
      <c r="D133" s="65" t="s">
        <v>28</v>
      </c>
      <c r="E133" s="65" t="s">
        <v>29</v>
      </c>
      <c r="F133" s="2" t="s">
        <v>58</v>
      </c>
      <c r="G133" s="71" t="s">
        <v>32</v>
      </c>
      <c r="H133" s="2" t="s">
        <v>657</v>
      </c>
      <c r="I133" s="46"/>
      <c r="J133" s="46"/>
      <c r="K133" s="88" t="s">
        <v>288</v>
      </c>
      <c r="L133" s="46"/>
      <c r="M133" s="19"/>
      <c r="N133" s="46"/>
      <c r="O133" s="46"/>
      <c r="P133" s="46"/>
      <c r="Q133" s="19"/>
      <c r="R133" s="19"/>
      <c r="S133" s="19"/>
      <c r="T133" s="20"/>
      <c r="U133" s="19"/>
      <c r="V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M133" s="46"/>
      <c r="AQ133" s="19"/>
      <c r="AR133" s="19"/>
      <c r="AS133" s="19"/>
      <c r="AT133" s="19"/>
      <c r="AU133" s="19">
        <v>1</v>
      </c>
      <c r="AV133" s="19">
        <v>1</v>
      </c>
      <c r="AW133" s="19"/>
      <c r="AY133" s="19"/>
      <c r="AZ133" s="20"/>
      <c r="BA133" s="19"/>
      <c r="BB133" s="19"/>
      <c r="BC133" s="19"/>
      <c r="BD133" s="19"/>
      <c r="BE133" s="19"/>
      <c r="BF133" s="19"/>
      <c r="BG133" s="19"/>
      <c r="BH133" s="20"/>
      <c r="BI133" s="19"/>
      <c r="BJ133" s="19"/>
      <c r="BK133" s="20"/>
      <c r="BL133" s="252">
        <v>2.09</v>
      </c>
      <c r="BM133" s="244">
        <f t="shared" ref="BM133" si="78">ROUND((BL133*1.5+4)*10,0)/10</f>
        <v>7.1</v>
      </c>
      <c r="BN133" s="244">
        <f t="shared" ref="BN133" si="79">ROUND((BL133*1.5+10)*10,0)/10</f>
        <v>13.1</v>
      </c>
      <c r="BO133" s="244">
        <f t="shared" ref="BO133" si="80">ROUND(BN133/0.7*1.22,0)</f>
        <v>23</v>
      </c>
      <c r="BP133" s="82">
        <v>0</v>
      </c>
      <c r="BQ133" s="159">
        <v>5</v>
      </c>
      <c r="BR133" s="107"/>
      <c r="BS133" s="107"/>
      <c r="BT133" s="137"/>
      <c r="BU133" s="137"/>
      <c r="BV133" s="143"/>
      <c r="BW133" s="170"/>
      <c r="BX133" s="143"/>
      <c r="BY133" s="143"/>
      <c r="BZ133" s="203"/>
      <c r="CA133" s="143"/>
      <c r="CB133" s="143"/>
      <c r="CC133" s="203"/>
      <c r="CD133" s="203"/>
      <c r="CE133" s="143"/>
      <c r="CF133" s="203"/>
      <c r="CG133" s="181">
        <v>5</v>
      </c>
      <c r="CH133" s="143"/>
      <c r="CI133" s="143"/>
      <c r="CJ133" s="203"/>
      <c r="CK133" s="203"/>
      <c r="CL133" s="203"/>
      <c r="CM133" s="203"/>
      <c r="CN133" s="143"/>
      <c r="CO133" s="143"/>
      <c r="CP133" s="203"/>
      <c r="CQ133" s="143">
        <v>5</v>
      </c>
      <c r="CR133" s="203">
        <v>5</v>
      </c>
      <c r="CS133" s="143"/>
      <c r="CT133" s="300"/>
    </row>
    <row r="134" spans="1:98" x14ac:dyDescent="0.25">
      <c r="A134" s="24" t="s">
        <v>67</v>
      </c>
      <c r="B134" s="18" t="s">
        <v>262</v>
      </c>
      <c r="C134" s="203">
        <v>17470000001123</v>
      </c>
      <c r="D134" s="65" t="s">
        <v>28</v>
      </c>
      <c r="E134" s="65" t="s">
        <v>29</v>
      </c>
      <c r="F134" s="2" t="s">
        <v>59</v>
      </c>
      <c r="G134" s="71" t="s">
        <v>30</v>
      </c>
      <c r="H134" s="2" t="s">
        <v>204</v>
      </c>
      <c r="I134" s="46" t="s">
        <v>473</v>
      </c>
      <c r="J134" s="46">
        <v>1</v>
      </c>
      <c r="K134" s="88" t="s">
        <v>289</v>
      </c>
      <c r="L134" s="52">
        <v>1</v>
      </c>
      <c r="M134" s="19">
        <v>1</v>
      </c>
      <c r="N134" s="52">
        <v>1</v>
      </c>
      <c r="O134" s="52">
        <v>1</v>
      </c>
      <c r="P134" s="52">
        <v>1</v>
      </c>
      <c r="Q134" s="19"/>
      <c r="R134" s="19"/>
      <c r="S134" s="19">
        <v>1</v>
      </c>
      <c r="T134" s="20">
        <v>1</v>
      </c>
      <c r="U134" s="19"/>
      <c r="V134" s="19"/>
      <c r="X134" s="19">
        <v>1</v>
      </c>
      <c r="Y134" s="19">
        <v>1</v>
      </c>
      <c r="Z134" s="19">
        <v>1</v>
      </c>
      <c r="AA134" s="19">
        <v>2</v>
      </c>
      <c r="AB134" s="19"/>
      <c r="AC134" s="19"/>
      <c r="AD134" s="22">
        <v>1</v>
      </c>
      <c r="AE134" s="19">
        <v>2</v>
      </c>
      <c r="AF134" s="19">
        <v>2</v>
      </c>
      <c r="AG134" s="19">
        <v>2</v>
      </c>
      <c r="AH134" s="19">
        <v>2</v>
      </c>
      <c r="AI134" s="19">
        <v>2</v>
      </c>
      <c r="AJ134" s="46" t="s">
        <v>756</v>
      </c>
      <c r="AK134" s="46">
        <v>2</v>
      </c>
      <c r="AL134" s="46">
        <v>2</v>
      </c>
      <c r="AM134" s="46">
        <v>2</v>
      </c>
      <c r="AN134" s="46">
        <v>2</v>
      </c>
      <c r="AO134" s="46">
        <v>2</v>
      </c>
      <c r="AP134" s="46">
        <v>2</v>
      </c>
      <c r="AQ134" s="19">
        <v>2</v>
      </c>
      <c r="AR134" s="19">
        <v>2</v>
      </c>
      <c r="AS134" s="19">
        <v>2</v>
      </c>
      <c r="AT134" s="19">
        <v>2</v>
      </c>
      <c r="AU134" s="19"/>
      <c r="AV134" s="19"/>
      <c r="AW134" s="22">
        <v>1</v>
      </c>
      <c r="AX134" s="284">
        <v>2</v>
      </c>
      <c r="AY134" s="22">
        <v>1</v>
      </c>
      <c r="AZ134" s="20">
        <v>1</v>
      </c>
      <c r="BA134" s="19"/>
      <c r="BB134" s="19"/>
      <c r="BC134" s="19"/>
      <c r="BD134" s="19"/>
      <c r="BE134" s="19"/>
      <c r="BF134" s="19"/>
      <c r="BG134" s="19"/>
      <c r="BH134" s="20"/>
      <c r="BI134" s="19"/>
      <c r="BJ134" s="19"/>
      <c r="BK134" s="20"/>
      <c r="BL134" s="251">
        <v>0.32</v>
      </c>
      <c r="BM134" s="244">
        <f t="shared" si="63"/>
        <v>4.5</v>
      </c>
      <c r="BN134" s="244">
        <f t="shared" si="64"/>
        <v>10.5</v>
      </c>
      <c r="BO134" s="244">
        <f t="shared" si="65"/>
        <v>18</v>
      </c>
      <c r="BP134" s="82">
        <v>59</v>
      </c>
      <c r="BQ134" s="159">
        <v>29</v>
      </c>
      <c r="BR134" s="119">
        <v>4</v>
      </c>
      <c r="BS134" s="119">
        <v>7</v>
      </c>
      <c r="BT134" s="119">
        <v>6</v>
      </c>
      <c r="BU134" s="119">
        <v>23</v>
      </c>
      <c r="BV134" s="178">
        <v>13</v>
      </c>
      <c r="BW134" s="182">
        <v>6</v>
      </c>
      <c r="BX134" s="181">
        <v>7</v>
      </c>
      <c r="BY134" s="143"/>
      <c r="BZ134" s="203"/>
      <c r="CA134" s="143"/>
      <c r="CB134" s="181">
        <v>10</v>
      </c>
      <c r="CC134" s="203"/>
      <c r="CD134" s="203">
        <v>10</v>
      </c>
      <c r="CE134" s="143"/>
      <c r="CF134" s="203"/>
      <c r="CG134" s="143"/>
      <c r="CH134" s="181">
        <v>20</v>
      </c>
      <c r="CI134" s="143"/>
      <c r="CJ134" s="203">
        <v>20</v>
      </c>
      <c r="CK134" s="203"/>
      <c r="CL134" s="203"/>
      <c r="CM134" s="203"/>
      <c r="CN134" s="143"/>
      <c r="CO134" s="143"/>
      <c r="CP134" s="203"/>
      <c r="CQ134" s="143">
        <v>5</v>
      </c>
      <c r="CR134" s="203">
        <v>5</v>
      </c>
      <c r="CS134" s="143"/>
      <c r="CT134" s="300"/>
    </row>
    <row r="135" spans="1:98" x14ac:dyDescent="0.25">
      <c r="A135" s="24" t="s">
        <v>67</v>
      </c>
      <c r="B135" s="18" t="s">
        <v>641</v>
      </c>
      <c r="C135" s="203">
        <v>17470000021319</v>
      </c>
      <c r="D135" s="65" t="s">
        <v>28</v>
      </c>
      <c r="E135" s="65" t="s">
        <v>29</v>
      </c>
      <c r="F135" s="2" t="s">
        <v>59</v>
      </c>
      <c r="G135" s="71" t="s">
        <v>32</v>
      </c>
      <c r="H135" s="2" t="s">
        <v>642</v>
      </c>
      <c r="I135" s="46"/>
      <c r="J135" s="46"/>
      <c r="K135" s="88" t="s">
        <v>289</v>
      </c>
      <c r="L135" s="46"/>
      <c r="M135" s="19"/>
      <c r="N135" s="46"/>
      <c r="O135" s="46"/>
      <c r="P135" s="46"/>
      <c r="Q135" s="19"/>
      <c r="R135" s="19"/>
      <c r="S135" s="19"/>
      <c r="T135" s="20"/>
      <c r="U135" s="19"/>
      <c r="V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M135" s="46"/>
      <c r="AQ135" s="19"/>
      <c r="AR135" s="19"/>
      <c r="AS135" s="19"/>
      <c r="AT135" s="19"/>
      <c r="AU135" s="19">
        <v>2</v>
      </c>
      <c r="AV135" s="19">
        <v>1</v>
      </c>
      <c r="AW135" s="19"/>
      <c r="AY135" s="19"/>
      <c r="AZ135" s="20"/>
      <c r="BA135" s="19"/>
      <c r="BB135" s="19"/>
      <c r="BC135" s="19"/>
      <c r="BD135" s="19"/>
      <c r="BE135" s="19"/>
      <c r="BF135" s="19"/>
      <c r="BG135" s="19"/>
      <c r="BH135" s="20"/>
      <c r="BI135" s="19"/>
      <c r="BJ135" s="19"/>
      <c r="BK135" s="20"/>
      <c r="BL135" s="252">
        <v>0.32</v>
      </c>
      <c r="BM135" s="244">
        <f t="shared" ref="BM135" si="81">ROUND((BL135*1.5+4)*10,0)/10</f>
        <v>4.5</v>
      </c>
      <c r="BN135" s="244">
        <f t="shared" ref="BN135" si="82">ROUND((BL135*1.5+10)*10,0)/10</f>
        <v>10.5</v>
      </c>
      <c r="BO135" s="244">
        <f t="shared" ref="BO135" si="83">ROUND(BN135/0.7*1.22,0)</f>
        <v>18</v>
      </c>
      <c r="BP135" s="82">
        <v>0</v>
      </c>
      <c r="BQ135" s="159">
        <v>15</v>
      </c>
      <c r="BR135" s="107"/>
      <c r="BS135" s="107"/>
      <c r="BT135" s="107"/>
      <c r="BU135" s="107"/>
      <c r="BV135" s="196"/>
      <c r="BW135" s="197"/>
      <c r="BX135" s="196"/>
      <c r="BY135" s="143"/>
      <c r="BZ135" s="203"/>
      <c r="CA135" s="143"/>
      <c r="CB135" s="143"/>
      <c r="CC135" s="203"/>
      <c r="CD135" s="203"/>
      <c r="CE135" s="143"/>
      <c r="CF135" s="203"/>
      <c r="CG135" s="181">
        <v>15</v>
      </c>
      <c r="CH135" s="143"/>
      <c r="CI135" s="143"/>
      <c r="CJ135" s="203"/>
      <c r="CK135" s="203"/>
      <c r="CL135" s="203"/>
      <c r="CM135" s="203"/>
      <c r="CN135" s="143"/>
      <c r="CO135" s="143"/>
      <c r="CP135" s="203"/>
      <c r="CQ135" s="143"/>
      <c r="CR135" s="203"/>
      <c r="CS135" s="143"/>
      <c r="CT135" s="300"/>
    </row>
    <row r="136" spans="1:98" x14ac:dyDescent="0.25">
      <c r="A136" s="51" t="s">
        <v>67</v>
      </c>
      <c r="B136" s="35" t="s">
        <v>262</v>
      </c>
      <c r="C136" s="208">
        <v>17470000001127</v>
      </c>
      <c r="D136" s="67" t="s">
        <v>28</v>
      </c>
      <c r="E136" s="67" t="s">
        <v>29</v>
      </c>
      <c r="F136" s="15" t="s">
        <v>59</v>
      </c>
      <c r="G136" s="73" t="s">
        <v>31</v>
      </c>
      <c r="H136" s="15" t="s">
        <v>205</v>
      </c>
      <c r="I136" s="49" t="s">
        <v>474</v>
      </c>
      <c r="J136" s="49">
        <v>1</v>
      </c>
      <c r="K136" s="90" t="s">
        <v>289</v>
      </c>
      <c r="L136" s="49"/>
      <c r="M136" s="30"/>
      <c r="N136" s="49"/>
      <c r="O136" s="49"/>
      <c r="P136" s="49"/>
      <c r="Q136" s="30"/>
      <c r="R136" s="30"/>
      <c r="S136" s="30"/>
      <c r="T136" s="31"/>
      <c r="U136" s="30"/>
      <c r="V136" s="30"/>
      <c r="W136" s="274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274"/>
      <c r="AL136" s="274"/>
      <c r="AM136" s="49"/>
      <c r="AN136" s="274"/>
      <c r="AO136" s="274"/>
      <c r="AP136" s="274"/>
      <c r="AQ136" s="30"/>
      <c r="AR136" s="30"/>
      <c r="AS136" s="30"/>
      <c r="AT136" s="30"/>
      <c r="AU136" s="30"/>
      <c r="AV136" s="30"/>
      <c r="AW136" s="30"/>
      <c r="AX136" s="274"/>
      <c r="AY136" s="30"/>
      <c r="AZ136" s="31"/>
      <c r="BA136" s="30"/>
      <c r="BB136" s="30"/>
      <c r="BC136" s="30"/>
      <c r="BD136" s="30"/>
      <c r="BE136" s="30"/>
      <c r="BF136" s="30"/>
      <c r="BG136" s="30"/>
      <c r="BH136" s="31"/>
      <c r="BI136" s="39">
        <v>1</v>
      </c>
      <c r="BJ136" s="39">
        <v>1</v>
      </c>
      <c r="BK136" s="31"/>
      <c r="BL136" s="255">
        <v>0.48</v>
      </c>
      <c r="BM136" s="244">
        <f t="shared" si="63"/>
        <v>4.7</v>
      </c>
      <c r="BN136" s="244">
        <f t="shared" si="64"/>
        <v>10.7</v>
      </c>
      <c r="BO136" s="244">
        <f t="shared" si="65"/>
        <v>19</v>
      </c>
      <c r="BP136" s="82">
        <v>1</v>
      </c>
      <c r="BQ136" s="159">
        <v>3</v>
      </c>
      <c r="BR136" s="121">
        <v>1</v>
      </c>
      <c r="BS136" s="109"/>
      <c r="BT136" s="138"/>
      <c r="BU136" s="138"/>
      <c r="BV136" s="144"/>
      <c r="BW136" s="171"/>
      <c r="BX136" s="144"/>
      <c r="BY136" s="144"/>
      <c r="BZ136" s="208"/>
      <c r="CA136" s="144"/>
      <c r="CB136" s="144"/>
      <c r="CC136" s="208"/>
      <c r="CD136" s="208"/>
      <c r="CE136" s="144"/>
      <c r="CF136" s="208"/>
      <c r="CG136" s="144"/>
      <c r="CH136" s="144"/>
      <c r="CI136" s="144"/>
      <c r="CJ136" s="208"/>
      <c r="CK136" s="208"/>
      <c r="CL136" s="208"/>
      <c r="CM136" s="208"/>
      <c r="CN136" s="144"/>
      <c r="CO136" s="144"/>
      <c r="CP136" s="208"/>
      <c r="CQ136" s="144"/>
      <c r="CR136" s="208"/>
      <c r="CS136" s="144"/>
      <c r="CT136" s="300"/>
    </row>
    <row r="137" spans="1:98" x14ac:dyDescent="0.25">
      <c r="A137" s="24" t="s">
        <v>116</v>
      </c>
      <c r="B137" s="18" t="s">
        <v>263</v>
      </c>
      <c r="C137" s="203">
        <v>17470000001493</v>
      </c>
      <c r="D137" s="65" t="s">
        <v>28</v>
      </c>
      <c r="E137" s="65" t="s">
        <v>29</v>
      </c>
      <c r="F137" s="2" t="s">
        <v>60</v>
      </c>
      <c r="G137" s="71" t="s">
        <v>30</v>
      </c>
      <c r="H137" s="2" t="s">
        <v>206</v>
      </c>
      <c r="I137" s="177" t="s">
        <v>491</v>
      </c>
      <c r="J137" s="46">
        <v>1</v>
      </c>
      <c r="K137" s="88" t="s">
        <v>290</v>
      </c>
      <c r="L137" s="46">
        <v>1</v>
      </c>
      <c r="M137" s="27">
        <v>1</v>
      </c>
      <c r="N137" s="78">
        <v>1</v>
      </c>
      <c r="O137" s="78">
        <v>1</v>
      </c>
      <c r="P137" s="78"/>
      <c r="Q137" s="19"/>
      <c r="R137" s="19"/>
      <c r="S137" s="19"/>
      <c r="T137" s="28">
        <v>1</v>
      </c>
      <c r="U137" s="19"/>
      <c r="V137" s="19"/>
      <c r="X137" s="27">
        <v>1</v>
      </c>
      <c r="Y137" s="27">
        <v>1</v>
      </c>
      <c r="Z137" s="76">
        <v>1</v>
      </c>
      <c r="AA137" s="19"/>
      <c r="AB137" s="19"/>
      <c r="AC137" s="19"/>
      <c r="AD137" s="27">
        <v>1</v>
      </c>
      <c r="AE137" s="19"/>
      <c r="AF137" s="19"/>
      <c r="AG137" s="19"/>
      <c r="AH137" s="19"/>
      <c r="AI137" s="19"/>
      <c r="AJ137" s="19"/>
      <c r="AM137" s="46"/>
      <c r="AQ137" s="19"/>
      <c r="AR137" s="19"/>
      <c r="AS137" s="19"/>
      <c r="AT137" s="19"/>
      <c r="AU137" s="19"/>
      <c r="AV137" s="19"/>
      <c r="AW137" s="27">
        <v>1</v>
      </c>
      <c r="AY137" s="27">
        <v>1</v>
      </c>
      <c r="AZ137" s="28">
        <v>1</v>
      </c>
      <c r="BA137" s="19">
        <v>1</v>
      </c>
      <c r="BB137" s="19">
        <v>1</v>
      </c>
      <c r="BC137" s="27">
        <v>1</v>
      </c>
      <c r="BD137" s="19"/>
      <c r="BE137" s="27">
        <v>1</v>
      </c>
      <c r="BF137" s="19">
        <v>1</v>
      </c>
      <c r="BG137" s="19"/>
      <c r="BH137" s="28">
        <v>1</v>
      </c>
      <c r="BI137" s="19">
        <v>1</v>
      </c>
      <c r="BJ137" s="19">
        <v>1</v>
      </c>
      <c r="BK137" s="28">
        <v>1</v>
      </c>
      <c r="BL137" s="251">
        <v>0.28000000000000003</v>
      </c>
      <c r="BM137" s="244">
        <f t="shared" si="63"/>
        <v>4.4000000000000004</v>
      </c>
      <c r="BN137" s="244">
        <f t="shared" si="64"/>
        <v>10.4</v>
      </c>
      <c r="BO137" s="244">
        <f t="shared" si="65"/>
        <v>18</v>
      </c>
      <c r="BP137" s="82">
        <v>31</v>
      </c>
      <c r="BQ137" s="159">
        <v>8</v>
      </c>
      <c r="BR137" s="105"/>
      <c r="BS137" s="105"/>
      <c r="BT137" s="137"/>
      <c r="BU137" s="137"/>
      <c r="BV137" s="178">
        <v>7</v>
      </c>
      <c r="BW137" s="182">
        <v>3</v>
      </c>
      <c r="BX137" s="181">
        <v>10</v>
      </c>
      <c r="BY137" s="143"/>
      <c r="BZ137" s="203"/>
      <c r="CA137" s="143"/>
      <c r="CB137" s="143"/>
      <c r="CC137" s="203"/>
      <c r="CD137" s="203"/>
      <c r="CE137" s="143"/>
      <c r="CF137" s="203"/>
      <c r="CG137" s="143"/>
      <c r="CH137" s="181">
        <v>15</v>
      </c>
      <c r="CI137" s="143"/>
      <c r="CJ137" s="203">
        <v>15</v>
      </c>
      <c r="CK137" s="203"/>
      <c r="CL137" s="203"/>
      <c r="CM137" s="203"/>
      <c r="CN137" s="143"/>
      <c r="CO137" s="143"/>
      <c r="CP137" s="203"/>
      <c r="CQ137" s="143">
        <v>5</v>
      </c>
      <c r="CR137" s="203">
        <v>5</v>
      </c>
      <c r="CS137" s="143"/>
      <c r="CT137" s="300"/>
    </row>
    <row r="138" spans="1:98" x14ac:dyDescent="0.25">
      <c r="A138" s="127" t="s">
        <v>116</v>
      </c>
      <c r="B138" s="18" t="s">
        <v>263</v>
      </c>
      <c r="C138" s="203">
        <v>17470000009112</v>
      </c>
      <c r="D138" s="70" t="s">
        <v>28</v>
      </c>
      <c r="E138" s="70" t="s">
        <v>29</v>
      </c>
      <c r="F138" s="1" t="s">
        <v>60</v>
      </c>
      <c r="G138" s="110" t="s">
        <v>31</v>
      </c>
      <c r="H138" s="1" t="s">
        <v>321</v>
      </c>
      <c r="I138" s="46" t="s">
        <v>475</v>
      </c>
      <c r="J138" s="46">
        <v>1</v>
      </c>
      <c r="K138" s="88" t="s">
        <v>290</v>
      </c>
      <c r="L138" s="46"/>
      <c r="M138" s="111"/>
      <c r="N138" s="115">
        <v>1</v>
      </c>
      <c r="O138" s="115">
        <v>1</v>
      </c>
      <c r="P138" s="115">
        <v>1</v>
      </c>
      <c r="Q138" s="111">
        <v>1</v>
      </c>
      <c r="R138" s="111">
        <v>1</v>
      </c>
      <c r="S138" s="111">
        <v>1</v>
      </c>
      <c r="T138" s="112"/>
      <c r="U138" s="111"/>
      <c r="V138" s="111"/>
      <c r="X138" s="111"/>
      <c r="Y138" s="111"/>
      <c r="Z138" s="280">
        <v>1</v>
      </c>
      <c r="AA138" s="111">
        <v>1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M138" s="46"/>
      <c r="AQ138" s="111"/>
      <c r="AR138" s="111"/>
      <c r="AS138" s="111"/>
      <c r="AT138" s="111"/>
      <c r="AU138" s="111"/>
      <c r="AV138" s="111"/>
      <c r="AW138" s="111"/>
      <c r="AX138" s="46">
        <v>1</v>
      </c>
      <c r="AY138" s="111"/>
      <c r="AZ138" s="112"/>
      <c r="BA138" s="111"/>
      <c r="BB138" s="111"/>
      <c r="BC138" s="111"/>
      <c r="BD138" s="111"/>
      <c r="BE138" s="111"/>
      <c r="BF138" s="111"/>
      <c r="BG138" s="111"/>
      <c r="BH138" s="112"/>
      <c r="BI138" s="111"/>
      <c r="BJ138" s="111"/>
      <c r="BK138" s="112"/>
      <c r="BL138" s="252">
        <v>0.3</v>
      </c>
      <c r="BM138" s="244">
        <f t="shared" si="63"/>
        <v>4.5</v>
      </c>
      <c r="BN138" s="244">
        <f t="shared" si="64"/>
        <v>10.5</v>
      </c>
      <c r="BO138" s="244">
        <f t="shared" si="65"/>
        <v>18</v>
      </c>
      <c r="BP138" s="248">
        <v>11</v>
      </c>
      <c r="BQ138" s="159">
        <v>9</v>
      </c>
      <c r="BR138" s="105"/>
      <c r="BS138" s="105"/>
      <c r="BT138" s="119" t="s">
        <v>297</v>
      </c>
      <c r="BU138" s="107"/>
      <c r="BV138" s="143"/>
      <c r="BW138" s="170"/>
      <c r="BX138" s="181">
        <v>15</v>
      </c>
      <c r="BY138" s="143"/>
      <c r="BZ138" s="203"/>
      <c r="CA138" s="143"/>
      <c r="CB138" s="143"/>
      <c r="CC138" s="203"/>
      <c r="CD138" s="203"/>
      <c r="CE138" s="181">
        <v>10</v>
      </c>
      <c r="CF138" s="203">
        <v>10</v>
      </c>
      <c r="CG138" s="143"/>
      <c r="CH138" s="143"/>
      <c r="CI138" s="143"/>
      <c r="CJ138" s="203"/>
      <c r="CK138" s="203"/>
      <c r="CL138" s="203"/>
      <c r="CM138" s="203"/>
      <c r="CN138" s="143"/>
      <c r="CO138" s="143"/>
      <c r="CP138" s="203"/>
      <c r="CQ138" s="143"/>
      <c r="CR138" s="203"/>
      <c r="CS138" s="143"/>
      <c r="CT138" s="300"/>
    </row>
    <row r="139" spans="1:98" x14ac:dyDescent="0.25">
      <c r="A139" s="127" t="s">
        <v>116</v>
      </c>
      <c r="B139" s="18" t="s">
        <v>263</v>
      </c>
      <c r="C139" s="203">
        <v>17470000009127</v>
      </c>
      <c r="D139" s="70" t="s">
        <v>28</v>
      </c>
      <c r="E139" s="70" t="s">
        <v>29</v>
      </c>
      <c r="F139" s="1" t="s">
        <v>60</v>
      </c>
      <c r="G139" s="110" t="s">
        <v>32</v>
      </c>
      <c r="H139" s="1" t="s">
        <v>322</v>
      </c>
      <c r="I139" s="46" t="s">
        <v>476</v>
      </c>
      <c r="J139" s="46">
        <v>1</v>
      </c>
      <c r="K139" s="88" t="s">
        <v>290</v>
      </c>
      <c r="L139" s="46"/>
      <c r="M139" s="111"/>
      <c r="N139" s="46"/>
      <c r="O139" s="46"/>
      <c r="P139" s="46"/>
      <c r="Q139" s="111"/>
      <c r="R139" s="111"/>
      <c r="S139" s="111"/>
      <c r="T139" s="112"/>
      <c r="U139" s="111"/>
      <c r="V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M139" s="46"/>
      <c r="AQ139" s="111"/>
      <c r="AR139" s="111"/>
      <c r="AS139" s="111"/>
      <c r="AT139" s="111"/>
      <c r="AU139" s="111"/>
      <c r="AV139" s="111"/>
      <c r="AW139" s="111"/>
      <c r="AY139" s="111"/>
      <c r="AZ139" s="112"/>
      <c r="BA139" s="111"/>
      <c r="BB139" s="111"/>
      <c r="BC139" s="111"/>
      <c r="BD139" s="111">
        <v>1</v>
      </c>
      <c r="BE139" s="111"/>
      <c r="BF139" s="111"/>
      <c r="BG139" s="111">
        <v>1</v>
      </c>
      <c r="BH139" s="116">
        <v>1</v>
      </c>
      <c r="BI139" s="111"/>
      <c r="BJ139" s="111"/>
      <c r="BK139" s="112"/>
      <c r="BL139" s="252">
        <v>0.23</v>
      </c>
      <c r="BM139" s="244">
        <f t="shared" si="63"/>
        <v>4.3</v>
      </c>
      <c r="BN139" s="244">
        <f t="shared" si="64"/>
        <v>10.3</v>
      </c>
      <c r="BO139" s="244">
        <f t="shared" si="65"/>
        <v>18</v>
      </c>
      <c r="BP139" s="82">
        <v>2</v>
      </c>
      <c r="BQ139" s="159">
        <v>2</v>
      </c>
      <c r="BR139" s="105"/>
      <c r="BS139" s="105"/>
      <c r="BT139" s="119" t="s">
        <v>350</v>
      </c>
      <c r="BU139" s="107"/>
      <c r="BV139" s="143"/>
      <c r="BW139" s="170"/>
      <c r="BX139" s="143"/>
      <c r="BY139" s="143"/>
      <c r="BZ139" s="203"/>
      <c r="CA139" s="143"/>
      <c r="CB139" s="143"/>
      <c r="CC139" s="203"/>
      <c r="CD139" s="203"/>
      <c r="CE139" s="143"/>
      <c r="CF139" s="203"/>
      <c r="CG139" s="143"/>
      <c r="CH139" s="181">
        <v>10</v>
      </c>
      <c r="CI139" s="143"/>
      <c r="CJ139" s="203">
        <v>10</v>
      </c>
      <c r="CK139" s="203"/>
      <c r="CL139" s="203"/>
      <c r="CM139" s="203"/>
      <c r="CN139" s="143"/>
      <c r="CO139" s="143"/>
      <c r="CP139" s="203"/>
      <c r="CQ139" s="143"/>
      <c r="CR139" s="203"/>
      <c r="CS139" s="143"/>
      <c r="CT139" s="300"/>
    </row>
    <row r="140" spans="1:98" x14ac:dyDescent="0.25">
      <c r="A140" s="127" t="s">
        <v>525</v>
      </c>
      <c r="B140" s="18" t="s">
        <v>524</v>
      </c>
      <c r="C140" s="203">
        <v>17470000006303</v>
      </c>
      <c r="D140" s="70" t="s">
        <v>28</v>
      </c>
      <c r="E140" s="70" t="s">
        <v>29</v>
      </c>
      <c r="F140" s="1" t="s">
        <v>60</v>
      </c>
      <c r="G140" s="110" t="s">
        <v>37</v>
      </c>
      <c r="H140" s="1" t="s">
        <v>526</v>
      </c>
      <c r="I140" s="46"/>
      <c r="J140" s="46">
        <v>1</v>
      </c>
      <c r="K140" s="88" t="s">
        <v>290</v>
      </c>
      <c r="L140" s="46"/>
      <c r="M140" s="111"/>
      <c r="N140" s="46"/>
      <c r="O140" s="46"/>
      <c r="P140" s="46"/>
      <c r="Q140" s="111"/>
      <c r="R140" s="111"/>
      <c r="S140" s="111"/>
      <c r="T140" s="112"/>
      <c r="U140" s="111"/>
      <c r="V140" s="111"/>
      <c r="X140" s="111"/>
      <c r="Y140" s="111"/>
      <c r="Z140" s="111"/>
      <c r="AA140" s="111"/>
      <c r="AB140" s="76">
        <v>1</v>
      </c>
      <c r="AC140" s="76">
        <v>1</v>
      </c>
      <c r="AD140" s="111"/>
      <c r="AE140" s="111"/>
      <c r="AF140" s="111"/>
      <c r="AG140" s="111"/>
      <c r="AH140" s="111"/>
      <c r="AI140" s="111"/>
      <c r="AJ140" s="111"/>
      <c r="AM140" s="46"/>
      <c r="AQ140" s="111"/>
      <c r="AR140" s="111"/>
      <c r="AS140" s="111"/>
      <c r="AT140" s="111"/>
      <c r="AU140" s="111"/>
      <c r="AV140" s="111"/>
      <c r="AW140" s="111"/>
      <c r="AY140" s="111"/>
      <c r="AZ140" s="112"/>
      <c r="BA140" s="111"/>
      <c r="BB140" s="111"/>
      <c r="BC140" s="111"/>
      <c r="BD140" s="111"/>
      <c r="BE140" s="111"/>
      <c r="BF140" s="111"/>
      <c r="BG140" s="111"/>
      <c r="BH140" s="112"/>
      <c r="BI140" s="111"/>
      <c r="BJ140" s="111"/>
      <c r="BK140" s="112"/>
      <c r="BL140" s="252">
        <v>0.41</v>
      </c>
      <c r="BM140" s="244">
        <f t="shared" si="63"/>
        <v>4.5999999999999996</v>
      </c>
      <c r="BN140" s="244">
        <f t="shared" si="64"/>
        <v>10.6</v>
      </c>
      <c r="BO140" s="244">
        <f t="shared" si="65"/>
        <v>18</v>
      </c>
      <c r="BP140" s="248">
        <v>50</v>
      </c>
      <c r="BQ140" s="159">
        <v>102</v>
      </c>
      <c r="BR140" s="105"/>
      <c r="BS140" s="105"/>
      <c r="BT140" s="107"/>
      <c r="BU140" s="107"/>
      <c r="BV140" s="143"/>
      <c r="BW140" s="170"/>
      <c r="BX140" s="143"/>
      <c r="BY140" s="181">
        <v>6</v>
      </c>
      <c r="BZ140" s="203">
        <v>6</v>
      </c>
      <c r="CA140" s="143"/>
      <c r="CB140" s="181">
        <v>35</v>
      </c>
      <c r="CC140" s="203"/>
      <c r="CD140" s="203">
        <v>35</v>
      </c>
      <c r="CE140" s="181">
        <v>100</v>
      </c>
      <c r="CF140" s="203">
        <v>100</v>
      </c>
      <c r="CG140" s="143"/>
      <c r="CH140" s="143"/>
      <c r="CI140" s="143"/>
      <c r="CJ140" s="203"/>
      <c r="CK140" s="203"/>
      <c r="CL140" s="203"/>
      <c r="CM140" s="203"/>
      <c r="CN140" s="181">
        <v>60</v>
      </c>
      <c r="CO140" s="143"/>
      <c r="CP140" s="203">
        <v>60</v>
      </c>
      <c r="CQ140" s="143"/>
      <c r="CR140" s="203"/>
      <c r="CS140" s="143">
        <v>30</v>
      </c>
      <c r="CT140" s="300"/>
    </row>
    <row r="141" spans="1:98" x14ac:dyDescent="0.25">
      <c r="A141" s="127" t="s">
        <v>525</v>
      </c>
      <c r="B141" s="18" t="s">
        <v>524</v>
      </c>
      <c r="C141" s="203" t="s">
        <v>733</v>
      </c>
      <c r="D141" s="70" t="s">
        <v>28</v>
      </c>
      <c r="E141" s="70" t="s">
        <v>29</v>
      </c>
      <c r="F141" s="1" t="s">
        <v>60</v>
      </c>
      <c r="G141" s="110" t="s">
        <v>40</v>
      </c>
      <c r="H141" s="1" t="s">
        <v>734</v>
      </c>
      <c r="I141" s="46"/>
      <c r="J141" s="46">
        <v>1</v>
      </c>
      <c r="K141" s="88" t="s">
        <v>290</v>
      </c>
      <c r="L141" s="46"/>
      <c r="M141" s="111"/>
      <c r="N141" s="46"/>
      <c r="O141" s="46"/>
      <c r="P141" s="46"/>
      <c r="Q141" s="111"/>
      <c r="R141" s="111"/>
      <c r="S141" s="111"/>
      <c r="T141" s="112"/>
      <c r="U141" s="111"/>
      <c r="V141" s="111"/>
      <c r="X141" s="111"/>
      <c r="Y141" s="111"/>
      <c r="Z141" s="111"/>
      <c r="AA141" s="111"/>
      <c r="AB141" s="280">
        <v>1</v>
      </c>
      <c r="AC141" s="280">
        <v>1</v>
      </c>
      <c r="AD141" s="111"/>
      <c r="AE141" s="111"/>
      <c r="AF141" s="111"/>
      <c r="AG141" s="111"/>
      <c r="AH141" s="111"/>
      <c r="AI141" s="111"/>
      <c r="AJ141" s="111"/>
      <c r="AM141" s="46"/>
      <c r="AQ141" s="111"/>
      <c r="AR141" s="111"/>
      <c r="AS141" s="111"/>
      <c r="AT141" s="111"/>
      <c r="AU141" s="111"/>
      <c r="AV141" s="111"/>
      <c r="AW141" s="111"/>
      <c r="AY141" s="111"/>
      <c r="AZ141" s="112"/>
      <c r="BA141" s="111"/>
      <c r="BB141" s="111"/>
      <c r="BC141" s="111"/>
      <c r="BD141" s="111"/>
      <c r="BE141" s="111"/>
      <c r="BF141" s="111"/>
      <c r="BG141" s="111"/>
      <c r="BH141" s="112"/>
      <c r="BI141" s="111"/>
      <c r="BJ141" s="111"/>
      <c r="BK141" s="112"/>
      <c r="BL141" s="252">
        <v>0.41</v>
      </c>
      <c r="BM141" s="244">
        <f t="shared" ref="BM141" si="84">ROUND((BL141*1.5+4)*10,0)/10</f>
        <v>4.5999999999999996</v>
      </c>
      <c r="BN141" s="244">
        <f t="shared" ref="BN141" si="85">ROUND((BL141*1.5+10)*10,0)/10</f>
        <v>10.6</v>
      </c>
      <c r="BO141" s="244">
        <f t="shared" ref="BO141" si="86">ROUND(BN141/0.7*1.22,0)</f>
        <v>18</v>
      </c>
      <c r="BP141" s="82"/>
      <c r="BQ141" s="159"/>
      <c r="BR141" s="105"/>
      <c r="BS141" s="105"/>
      <c r="BT141" s="107"/>
      <c r="BU141" s="107"/>
      <c r="BV141" s="143"/>
      <c r="BW141" s="170"/>
      <c r="BX141" s="143"/>
      <c r="BY141" s="143"/>
      <c r="BZ141" s="203"/>
      <c r="CA141" s="143"/>
      <c r="CB141" s="143"/>
      <c r="CC141" s="203"/>
      <c r="CD141" s="203"/>
      <c r="CE141" s="143"/>
      <c r="CF141" s="203"/>
      <c r="CG141" s="143"/>
      <c r="CH141" s="143"/>
      <c r="CI141" s="181">
        <v>10</v>
      </c>
      <c r="CJ141" s="203"/>
      <c r="CK141" s="203"/>
      <c r="CL141" s="203"/>
      <c r="CM141" s="203">
        <v>10</v>
      </c>
      <c r="CN141" s="143"/>
      <c r="CO141" s="181">
        <v>10</v>
      </c>
      <c r="CP141" s="203">
        <v>10</v>
      </c>
      <c r="CQ141" s="143"/>
      <c r="CR141" s="203"/>
      <c r="CS141" s="143"/>
      <c r="CT141" s="300"/>
    </row>
    <row r="142" spans="1:98" x14ac:dyDescent="0.25">
      <c r="A142" s="127" t="s">
        <v>116</v>
      </c>
      <c r="B142" s="18" t="s">
        <v>591</v>
      </c>
      <c r="C142" s="203">
        <v>17470000020861</v>
      </c>
      <c r="D142" s="70" t="s">
        <v>28</v>
      </c>
      <c r="E142" s="70" t="s">
        <v>29</v>
      </c>
      <c r="F142" s="1" t="s">
        <v>60</v>
      </c>
      <c r="G142" s="156" t="s">
        <v>38</v>
      </c>
      <c r="H142" s="1" t="s">
        <v>592</v>
      </c>
      <c r="I142" s="46"/>
      <c r="J142" s="46"/>
      <c r="K142" s="88" t="s">
        <v>290</v>
      </c>
      <c r="L142" s="46"/>
      <c r="M142" s="111"/>
      <c r="N142" s="46"/>
      <c r="O142" s="46"/>
      <c r="P142" s="46"/>
      <c r="Q142" s="111"/>
      <c r="R142" s="111"/>
      <c r="S142" s="111"/>
      <c r="T142" s="112"/>
      <c r="U142" s="111">
        <v>1</v>
      </c>
      <c r="V142" s="111">
        <v>1</v>
      </c>
      <c r="W142" s="46">
        <v>1</v>
      </c>
      <c r="X142" s="111"/>
      <c r="Y142" s="111"/>
      <c r="Z142" s="111"/>
      <c r="AA142" s="111"/>
      <c r="AB142" s="111"/>
      <c r="AC142" s="111"/>
      <c r="AD142" s="111"/>
      <c r="AE142" s="111">
        <v>1</v>
      </c>
      <c r="AF142" s="111">
        <v>1</v>
      </c>
      <c r="AG142" s="111">
        <v>1</v>
      </c>
      <c r="AH142" s="111">
        <v>1</v>
      </c>
      <c r="AI142" s="111">
        <v>1</v>
      </c>
      <c r="AJ142" s="46" t="s">
        <v>755</v>
      </c>
      <c r="AK142" s="46">
        <v>1</v>
      </c>
      <c r="AL142" s="46">
        <v>1</v>
      </c>
      <c r="AM142" s="46">
        <v>1</v>
      </c>
      <c r="AN142" s="46">
        <v>1</v>
      </c>
      <c r="AO142" s="46">
        <v>1</v>
      </c>
      <c r="AP142" s="46">
        <v>1</v>
      </c>
      <c r="AQ142" s="111">
        <v>1</v>
      </c>
      <c r="AR142" s="111">
        <v>1</v>
      </c>
      <c r="AS142" s="111">
        <v>1</v>
      </c>
      <c r="AT142" s="111">
        <v>1</v>
      </c>
      <c r="AU142" s="111"/>
      <c r="AV142" s="111"/>
      <c r="AW142" s="111"/>
      <c r="AY142" s="111"/>
      <c r="AZ142" s="112"/>
      <c r="BA142" s="111"/>
      <c r="BB142" s="111"/>
      <c r="BC142" s="111"/>
      <c r="BD142" s="111"/>
      <c r="BE142" s="111"/>
      <c r="BF142" s="111"/>
      <c r="BG142" s="111"/>
      <c r="BH142" s="112"/>
      <c r="BI142" s="111"/>
      <c r="BJ142" s="111"/>
      <c r="BK142" s="112"/>
      <c r="BL142" s="252">
        <v>0.23</v>
      </c>
      <c r="BM142" s="244">
        <f t="shared" si="63"/>
        <v>4.3</v>
      </c>
      <c r="BN142" s="244">
        <f t="shared" si="64"/>
        <v>10.3</v>
      </c>
      <c r="BO142" s="244">
        <f t="shared" si="65"/>
        <v>18</v>
      </c>
      <c r="BP142" s="82">
        <v>0</v>
      </c>
      <c r="BQ142" s="159">
        <v>25</v>
      </c>
      <c r="BR142" s="105"/>
      <c r="BS142" s="105"/>
      <c r="BT142" s="107"/>
      <c r="BU142" s="107"/>
      <c r="BV142" s="143"/>
      <c r="BW142" s="170"/>
      <c r="BX142" s="143"/>
      <c r="BY142" s="143"/>
      <c r="BZ142" s="203"/>
      <c r="CA142" s="143"/>
      <c r="CB142" s="181">
        <v>25</v>
      </c>
      <c r="CC142" s="203"/>
      <c r="CD142" s="203">
        <v>25</v>
      </c>
      <c r="CE142" s="143"/>
      <c r="CF142" s="203"/>
      <c r="CG142" s="143"/>
      <c r="CH142" s="143"/>
      <c r="CI142" s="143"/>
      <c r="CJ142" s="203"/>
      <c r="CK142" s="203"/>
      <c r="CL142" s="203"/>
      <c r="CM142" s="203"/>
      <c r="CN142" s="143"/>
      <c r="CO142" s="143"/>
      <c r="CP142" s="203"/>
      <c r="CQ142" s="143"/>
      <c r="CR142" s="203"/>
      <c r="CS142" s="143"/>
      <c r="CT142" s="300"/>
    </row>
    <row r="143" spans="1:98" x14ac:dyDescent="0.25">
      <c r="A143" s="127" t="s">
        <v>655</v>
      </c>
      <c r="B143" s="18" t="s">
        <v>654</v>
      </c>
      <c r="C143" s="203">
        <v>17470000001486</v>
      </c>
      <c r="D143" s="70" t="s">
        <v>28</v>
      </c>
      <c r="E143" s="70" t="s">
        <v>29</v>
      </c>
      <c r="F143" s="1" t="s">
        <v>60</v>
      </c>
      <c r="G143" s="156" t="s">
        <v>39</v>
      </c>
      <c r="H143" s="1" t="s">
        <v>653</v>
      </c>
      <c r="I143" s="46"/>
      <c r="J143" s="46"/>
      <c r="K143" s="88" t="s">
        <v>290</v>
      </c>
      <c r="L143" s="46"/>
      <c r="M143" s="111"/>
      <c r="N143" s="46"/>
      <c r="O143" s="46"/>
      <c r="P143" s="46"/>
      <c r="Q143" s="111"/>
      <c r="R143" s="111"/>
      <c r="S143" s="111"/>
      <c r="T143" s="112"/>
      <c r="U143" s="111"/>
      <c r="V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M143" s="46"/>
      <c r="AQ143" s="111"/>
      <c r="AR143" s="111"/>
      <c r="AS143" s="111"/>
      <c r="AT143" s="111"/>
      <c r="AU143" s="111">
        <v>1</v>
      </c>
      <c r="AV143" s="111">
        <v>1</v>
      </c>
      <c r="AW143" s="111"/>
      <c r="AY143" s="111"/>
      <c r="AZ143" s="112"/>
      <c r="BA143" s="111"/>
      <c r="BB143" s="111"/>
      <c r="BC143" s="111"/>
      <c r="BD143" s="111"/>
      <c r="BE143" s="111"/>
      <c r="BF143" s="111"/>
      <c r="BG143" s="111"/>
      <c r="BH143" s="112"/>
      <c r="BI143" s="111"/>
      <c r="BJ143" s="111"/>
      <c r="BK143" s="112"/>
      <c r="BL143" s="252">
        <v>0.27</v>
      </c>
      <c r="BM143" s="244">
        <f t="shared" ref="BM143" si="87">ROUND((BL143*1.5+4)*10,0)/10</f>
        <v>4.4000000000000004</v>
      </c>
      <c r="BN143" s="244">
        <f t="shared" ref="BN143" si="88">ROUND((BL143*1.5+10)*10,0)/10</f>
        <v>10.4</v>
      </c>
      <c r="BO143" s="244">
        <f t="shared" ref="BO143" si="89">ROUND(BN143/0.7*1.22,0)</f>
        <v>18</v>
      </c>
      <c r="BP143" s="82">
        <v>0</v>
      </c>
      <c r="BQ143" s="159">
        <v>10</v>
      </c>
      <c r="BR143" s="105"/>
      <c r="BS143" s="105"/>
      <c r="BT143" s="107"/>
      <c r="BU143" s="107"/>
      <c r="BV143" s="143"/>
      <c r="BW143" s="170"/>
      <c r="BX143" s="143"/>
      <c r="BY143" s="143"/>
      <c r="BZ143" s="203"/>
      <c r="CA143" s="143"/>
      <c r="CB143" s="143"/>
      <c r="CC143" s="203"/>
      <c r="CD143" s="203"/>
      <c r="CE143" s="143"/>
      <c r="CF143" s="203"/>
      <c r="CG143" s="181">
        <v>10</v>
      </c>
      <c r="CH143" s="143"/>
      <c r="CI143" s="143"/>
      <c r="CJ143" s="203"/>
      <c r="CK143" s="203"/>
      <c r="CL143" s="203"/>
      <c r="CM143" s="203"/>
      <c r="CN143" s="143"/>
      <c r="CO143" s="143"/>
      <c r="CP143" s="203"/>
      <c r="CQ143" s="143"/>
      <c r="CR143" s="203"/>
      <c r="CS143" s="143"/>
      <c r="CT143" s="300"/>
    </row>
    <row r="144" spans="1:98" x14ac:dyDescent="0.25">
      <c r="A144" s="131" t="s">
        <v>117</v>
      </c>
      <c r="B144" s="132" t="s">
        <v>264</v>
      </c>
      <c r="C144" s="212">
        <v>17470000000243</v>
      </c>
      <c r="D144" s="133" t="s">
        <v>28</v>
      </c>
      <c r="E144" s="133" t="s">
        <v>29</v>
      </c>
      <c r="F144" s="134" t="s">
        <v>60</v>
      </c>
      <c r="G144" s="135"/>
      <c r="H144" s="134"/>
      <c r="I144" s="199"/>
      <c r="J144" s="199"/>
      <c r="K144" s="200"/>
      <c r="L144" s="77"/>
      <c r="M144" s="76"/>
      <c r="N144" s="77"/>
      <c r="O144" s="77"/>
      <c r="P144" s="77"/>
      <c r="Q144" s="76"/>
      <c r="R144" s="76"/>
      <c r="S144" s="76"/>
      <c r="T144" s="99"/>
      <c r="U144" s="76"/>
      <c r="V144" s="76"/>
      <c r="W144" s="275"/>
      <c r="X144" s="76" t="s">
        <v>118</v>
      </c>
      <c r="Y144" s="76" t="s">
        <v>118</v>
      </c>
      <c r="Z144" s="136" t="s">
        <v>118</v>
      </c>
      <c r="AA144" s="136"/>
      <c r="AB144" s="136"/>
      <c r="AC144" s="136"/>
      <c r="AD144" s="76" t="s">
        <v>118</v>
      </c>
      <c r="AE144" s="136"/>
      <c r="AF144" s="136"/>
      <c r="AG144" s="136"/>
      <c r="AH144" s="136"/>
      <c r="AI144" s="136"/>
      <c r="AJ144" s="136"/>
      <c r="AK144" s="275"/>
      <c r="AL144" s="275"/>
      <c r="AM144" s="77"/>
      <c r="AN144" s="275"/>
      <c r="AO144" s="275"/>
      <c r="AP144" s="275"/>
      <c r="AQ144" s="136"/>
      <c r="AR144" s="136"/>
      <c r="AS144" s="136"/>
      <c r="AT144" s="136"/>
      <c r="AU144" s="136"/>
      <c r="AV144" s="136"/>
      <c r="AW144" s="76" t="s">
        <v>118</v>
      </c>
      <c r="AX144" s="275"/>
      <c r="AY144" s="76" t="s">
        <v>118</v>
      </c>
      <c r="AZ144" s="99" t="s">
        <v>118</v>
      </c>
      <c r="BA144" s="76"/>
      <c r="BB144" s="76"/>
      <c r="BC144" s="76"/>
      <c r="BD144" s="76"/>
      <c r="BE144" s="76"/>
      <c r="BF144" s="76"/>
      <c r="BG144" s="76"/>
      <c r="BH144" s="99"/>
      <c r="BI144" s="76"/>
      <c r="BJ144" s="76"/>
      <c r="BK144" s="99"/>
      <c r="BL144" s="268"/>
      <c r="BM144" s="244">
        <f t="shared" si="63"/>
        <v>4</v>
      </c>
      <c r="BN144" s="244">
        <f t="shared" si="64"/>
        <v>10</v>
      </c>
      <c r="BO144" s="244">
        <f t="shared" si="65"/>
        <v>17</v>
      </c>
      <c r="BP144" s="160"/>
      <c r="BQ144" s="161"/>
      <c r="BR144" s="126"/>
      <c r="BS144" s="126"/>
      <c r="BT144" s="139"/>
      <c r="BU144" s="139"/>
      <c r="BV144" s="145"/>
      <c r="BW144" s="173"/>
      <c r="BX144" s="145"/>
      <c r="BY144" s="145"/>
      <c r="BZ144" s="145"/>
      <c r="CA144" s="145"/>
      <c r="CB144" s="145"/>
      <c r="CC144" s="212"/>
      <c r="CD144" s="212"/>
      <c r="CE144" s="145"/>
      <c r="CF144" s="212"/>
      <c r="CG144" s="145"/>
      <c r="CH144" s="145"/>
      <c r="CI144" s="145"/>
      <c r="CJ144" s="212"/>
      <c r="CK144" s="212"/>
      <c r="CL144" s="212"/>
      <c r="CM144" s="212"/>
      <c r="CN144" s="145"/>
      <c r="CO144" s="145"/>
      <c r="CP144" s="212"/>
      <c r="CQ144" s="145"/>
      <c r="CR144" s="212"/>
      <c r="CS144" s="145"/>
      <c r="CT144" s="300"/>
    </row>
    <row r="145" spans="1:98" x14ac:dyDescent="0.25">
      <c r="A145" s="24" t="s">
        <v>119</v>
      </c>
      <c r="B145" s="18" t="s">
        <v>265</v>
      </c>
      <c r="C145" s="203">
        <v>17470000009163</v>
      </c>
      <c r="D145" s="65" t="s">
        <v>28</v>
      </c>
      <c r="E145" s="65" t="s">
        <v>29</v>
      </c>
      <c r="F145" s="2" t="s">
        <v>61</v>
      </c>
      <c r="G145" s="71" t="s">
        <v>30</v>
      </c>
      <c r="H145" s="2" t="s">
        <v>207</v>
      </c>
      <c r="I145" s="46" t="s">
        <v>477</v>
      </c>
      <c r="J145" s="46">
        <v>1</v>
      </c>
      <c r="K145" s="88" t="s">
        <v>291</v>
      </c>
      <c r="L145" s="48">
        <v>1</v>
      </c>
      <c r="M145" s="21">
        <v>1</v>
      </c>
      <c r="N145" s="79">
        <v>1</v>
      </c>
      <c r="O145" s="79">
        <v>1</v>
      </c>
      <c r="P145" s="79">
        <v>1</v>
      </c>
      <c r="Q145" s="21"/>
      <c r="R145" s="21"/>
      <c r="S145" s="21"/>
      <c r="T145" s="26">
        <v>1</v>
      </c>
      <c r="U145" s="21"/>
      <c r="V145" s="21"/>
      <c r="W145" s="273"/>
      <c r="X145" s="21">
        <v>1</v>
      </c>
      <c r="Y145" s="21">
        <v>1</v>
      </c>
      <c r="Z145" s="21">
        <v>1</v>
      </c>
      <c r="AA145" s="21">
        <v>1</v>
      </c>
      <c r="AB145" s="21"/>
      <c r="AC145" s="21"/>
      <c r="AD145" s="21">
        <v>1</v>
      </c>
      <c r="AE145" s="21">
        <v>1</v>
      </c>
      <c r="AF145" s="21">
        <v>1</v>
      </c>
      <c r="AG145" s="21">
        <v>1</v>
      </c>
      <c r="AH145" s="21">
        <v>1</v>
      </c>
      <c r="AI145" s="21">
        <v>1</v>
      </c>
      <c r="AJ145" s="48" t="s">
        <v>755</v>
      </c>
      <c r="AK145" s="48">
        <v>1</v>
      </c>
      <c r="AL145" s="48">
        <v>1</v>
      </c>
      <c r="AM145" s="48">
        <v>1</v>
      </c>
      <c r="AN145" s="48">
        <v>1</v>
      </c>
      <c r="AO145" s="48">
        <v>1</v>
      </c>
      <c r="AP145" s="48">
        <v>1</v>
      </c>
      <c r="AQ145" s="21">
        <v>1</v>
      </c>
      <c r="AR145" s="21">
        <v>1</v>
      </c>
      <c r="AS145" s="21">
        <v>1</v>
      </c>
      <c r="AT145" s="21">
        <v>1</v>
      </c>
      <c r="AU145" s="21"/>
      <c r="AV145" s="21"/>
      <c r="AW145" s="21">
        <v>1</v>
      </c>
      <c r="AX145" s="48">
        <v>1</v>
      </c>
      <c r="AY145" s="21">
        <v>1</v>
      </c>
      <c r="AZ145" s="26">
        <v>1</v>
      </c>
      <c r="BA145" s="21">
        <v>0</v>
      </c>
      <c r="BB145" s="21">
        <v>0</v>
      </c>
      <c r="BC145" s="21">
        <v>0</v>
      </c>
      <c r="BD145" s="21"/>
      <c r="BE145" s="21">
        <v>0</v>
      </c>
      <c r="BF145" s="21">
        <v>0</v>
      </c>
      <c r="BG145" s="21"/>
      <c r="BH145" s="26">
        <v>0</v>
      </c>
      <c r="BI145" s="41">
        <v>1</v>
      </c>
      <c r="BJ145" s="41">
        <v>1</v>
      </c>
      <c r="BK145" s="26">
        <v>0</v>
      </c>
      <c r="BL145" s="253">
        <v>0.23</v>
      </c>
      <c r="BM145" s="244">
        <f t="shared" si="63"/>
        <v>4.3</v>
      </c>
      <c r="BN145" s="244">
        <f t="shared" si="64"/>
        <v>10.3</v>
      </c>
      <c r="BO145" s="244">
        <f t="shared" si="65"/>
        <v>18</v>
      </c>
      <c r="BP145" s="82">
        <v>12</v>
      </c>
      <c r="BQ145" s="159">
        <v>7</v>
      </c>
      <c r="BR145" s="105"/>
      <c r="BS145" s="105"/>
      <c r="BT145" s="119">
        <v>4</v>
      </c>
      <c r="BU145" s="119">
        <v>2</v>
      </c>
      <c r="BV145" s="143"/>
      <c r="BW145" s="182">
        <v>4</v>
      </c>
      <c r="BX145" s="143"/>
      <c r="BY145" s="143"/>
      <c r="BZ145" s="203"/>
      <c r="CA145" s="143"/>
      <c r="CB145" s="143"/>
      <c r="CC145" s="203"/>
      <c r="CD145" s="203"/>
      <c r="CE145" s="143"/>
      <c r="CF145" s="203"/>
      <c r="CG145" s="143"/>
      <c r="CH145" s="181">
        <v>10</v>
      </c>
      <c r="CI145" s="143"/>
      <c r="CJ145" s="203">
        <v>10</v>
      </c>
      <c r="CK145" s="203"/>
      <c r="CL145" s="203"/>
      <c r="CM145" s="203"/>
      <c r="CN145" s="143"/>
      <c r="CO145" s="143"/>
      <c r="CP145" s="203"/>
      <c r="CQ145" s="143"/>
      <c r="CR145" s="203"/>
      <c r="CS145" s="143"/>
      <c r="CT145" s="300"/>
    </row>
    <row r="146" spans="1:98" x14ac:dyDescent="0.25">
      <c r="A146" s="24" t="s">
        <v>120</v>
      </c>
      <c r="B146" s="18" t="s">
        <v>266</v>
      </c>
      <c r="C146" s="203">
        <v>17470000001515</v>
      </c>
      <c r="D146" s="65" t="s">
        <v>28</v>
      </c>
      <c r="E146" s="65" t="s">
        <v>29</v>
      </c>
      <c r="F146" s="2" t="s">
        <v>61</v>
      </c>
      <c r="G146" s="71" t="s">
        <v>31</v>
      </c>
      <c r="H146" s="2" t="s">
        <v>208</v>
      </c>
      <c r="I146" s="46" t="s">
        <v>478</v>
      </c>
      <c r="J146" s="46">
        <v>1</v>
      </c>
      <c r="K146" s="88" t="s">
        <v>291</v>
      </c>
      <c r="L146" s="46"/>
      <c r="M146" s="19"/>
      <c r="N146" s="46"/>
      <c r="O146" s="46"/>
      <c r="P146" s="46"/>
      <c r="Q146" s="19"/>
      <c r="R146" s="19"/>
      <c r="S146" s="19"/>
      <c r="T146" s="20"/>
      <c r="U146" s="19"/>
      <c r="V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M146" s="46"/>
      <c r="AQ146" s="19"/>
      <c r="AR146" s="19"/>
      <c r="AS146" s="19"/>
      <c r="AT146" s="19"/>
      <c r="AU146" s="19"/>
      <c r="AV146" s="19"/>
      <c r="AW146" s="19"/>
      <c r="AY146" s="19"/>
      <c r="AZ146" s="20"/>
      <c r="BA146" s="27">
        <v>1</v>
      </c>
      <c r="BB146" s="27">
        <v>1</v>
      </c>
      <c r="BC146" s="27">
        <v>1</v>
      </c>
      <c r="BD146" s="19"/>
      <c r="BE146" s="27">
        <v>1</v>
      </c>
      <c r="BF146" s="22">
        <v>1</v>
      </c>
      <c r="BG146" s="19"/>
      <c r="BH146" s="28">
        <v>1</v>
      </c>
      <c r="BI146" s="19"/>
      <c r="BJ146" s="19"/>
      <c r="BK146" s="20">
        <v>0</v>
      </c>
      <c r="BL146" s="252">
        <v>0.26700000000000002</v>
      </c>
      <c r="BM146" s="244">
        <f t="shared" si="63"/>
        <v>4.4000000000000004</v>
      </c>
      <c r="BN146" s="244">
        <f t="shared" si="64"/>
        <v>10.4</v>
      </c>
      <c r="BO146" s="244">
        <f t="shared" si="65"/>
        <v>18</v>
      </c>
      <c r="BP146" s="82">
        <v>1</v>
      </c>
      <c r="BQ146" s="159">
        <v>9</v>
      </c>
      <c r="BR146" s="105"/>
      <c r="BS146" s="105"/>
      <c r="BT146" s="137"/>
      <c r="BU146" s="137"/>
      <c r="BV146" s="143"/>
      <c r="BW146" s="170"/>
      <c r="BX146" s="143"/>
      <c r="BY146" s="143"/>
      <c r="BZ146" s="203"/>
      <c r="CA146" s="143"/>
      <c r="CB146" s="143"/>
      <c r="CC146" s="203"/>
      <c r="CD146" s="203"/>
      <c r="CE146" s="143"/>
      <c r="CF146" s="203"/>
      <c r="CG146" s="143"/>
      <c r="CH146" s="143"/>
      <c r="CI146" s="143"/>
      <c r="CJ146" s="203"/>
      <c r="CK146" s="203"/>
      <c r="CL146" s="203"/>
      <c r="CM146" s="203"/>
      <c r="CN146" s="143"/>
      <c r="CO146" s="143"/>
      <c r="CP146" s="203"/>
      <c r="CQ146" s="143"/>
      <c r="CR146" s="203"/>
      <c r="CS146" s="143"/>
      <c r="CT146" s="300"/>
    </row>
    <row r="147" spans="1:98" x14ac:dyDescent="0.25">
      <c r="A147" s="24" t="s">
        <v>120</v>
      </c>
      <c r="B147" s="18" t="s">
        <v>266</v>
      </c>
      <c r="C147" s="203">
        <v>17470000009164</v>
      </c>
      <c r="D147" s="65" t="s">
        <v>28</v>
      </c>
      <c r="E147" s="65" t="s">
        <v>29</v>
      </c>
      <c r="F147" s="2" t="s">
        <v>61</v>
      </c>
      <c r="G147" s="71" t="s">
        <v>37</v>
      </c>
      <c r="H147" s="2" t="s">
        <v>570</v>
      </c>
      <c r="I147" s="46"/>
      <c r="J147" s="46"/>
      <c r="K147" s="88" t="s">
        <v>291</v>
      </c>
      <c r="L147" s="46"/>
      <c r="M147" s="19"/>
      <c r="N147" s="46"/>
      <c r="O147" s="46"/>
      <c r="P147" s="46"/>
      <c r="Q147" s="19"/>
      <c r="R147" s="19"/>
      <c r="S147" s="19"/>
      <c r="T147" s="20"/>
      <c r="U147" s="19"/>
      <c r="V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M147" s="46"/>
      <c r="AQ147" s="19"/>
      <c r="AR147" s="19"/>
      <c r="AS147" s="19"/>
      <c r="AT147" s="19"/>
      <c r="AU147" s="19"/>
      <c r="AV147" s="19"/>
      <c r="AW147" s="19"/>
      <c r="AY147" s="19"/>
      <c r="AZ147" s="20"/>
      <c r="BA147" s="19"/>
      <c r="BB147" s="19"/>
      <c r="BC147" s="19"/>
      <c r="BD147" s="19">
        <v>1</v>
      </c>
      <c r="BE147" s="19"/>
      <c r="BF147" s="19"/>
      <c r="BG147" s="19">
        <v>1</v>
      </c>
      <c r="BH147" s="20"/>
      <c r="BI147" s="19"/>
      <c r="BJ147" s="19"/>
      <c r="BK147" s="20"/>
      <c r="BL147" s="252">
        <v>0.23</v>
      </c>
      <c r="BM147" s="244">
        <f t="shared" si="63"/>
        <v>4.3</v>
      </c>
      <c r="BN147" s="244">
        <f t="shared" si="64"/>
        <v>10.3</v>
      </c>
      <c r="BO147" s="244">
        <f t="shared" si="65"/>
        <v>18</v>
      </c>
      <c r="BP147" s="82">
        <v>0</v>
      </c>
      <c r="BQ147" s="159">
        <v>5</v>
      </c>
      <c r="BR147" s="105"/>
      <c r="BS147" s="105"/>
      <c r="BT147" s="137"/>
      <c r="BU147" s="137"/>
      <c r="BV147" s="143"/>
      <c r="BW147" s="170"/>
      <c r="BX147" s="143"/>
      <c r="BY147" s="143"/>
      <c r="BZ147" s="203"/>
      <c r="CA147" s="143"/>
      <c r="CB147" s="181">
        <v>5</v>
      </c>
      <c r="CC147" s="203"/>
      <c r="CD147" s="203">
        <v>5</v>
      </c>
      <c r="CE147" s="143"/>
      <c r="CF147" s="203"/>
      <c r="CG147" s="143"/>
      <c r="CH147" s="143"/>
      <c r="CI147" s="143"/>
      <c r="CJ147" s="203"/>
      <c r="CK147" s="203"/>
      <c r="CL147" s="203"/>
      <c r="CM147" s="203"/>
      <c r="CN147" s="143"/>
      <c r="CO147" s="143"/>
      <c r="CP147" s="203"/>
      <c r="CQ147" s="143"/>
      <c r="CR147" s="203"/>
      <c r="CS147" s="143"/>
      <c r="CT147" s="300"/>
    </row>
    <row r="148" spans="1:98" x14ac:dyDescent="0.25">
      <c r="A148" s="24" t="s">
        <v>121</v>
      </c>
      <c r="B148" s="18" t="s">
        <v>267</v>
      </c>
      <c r="C148" s="203">
        <v>17470000009125</v>
      </c>
      <c r="D148" s="65" t="s">
        <v>28</v>
      </c>
      <c r="E148" s="65" t="s">
        <v>29</v>
      </c>
      <c r="F148" s="2" t="s">
        <v>61</v>
      </c>
      <c r="G148" s="71" t="s">
        <v>38</v>
      </c>
      <c r="H148" s="2" t="s">
        <v>652</v>
      </c>
      <c r="I148" s="46"/>
      <c r="J148" s="46"/>
      <c r="K148" s="88" t="s">
        <v>291</v>
      </c>
      <c r="L148" s="46"/>
      <c r="M148" s="19"/>
      <c r="N148" s="46"/>
      <c r="O148" s="46"/>
      <c r="P148" s="46"/>
      <c r="Q148" s="19"/>
      <c r="R148" s="19"/>
      <c r="S148" s="19"/>
      <c r="T148" s="20"/>
      <c r="U148" s="19"/>
      <c r="V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M148" s="46"/>
      <c r="AQ148" s="19"/>
      <c r="AR148" s="19"/>
      <c r="AS148" s="19"/>
      <c r="AT148" s="19"/>
      <c r="AU148" s="19">
        <v>1</v>
      </c>
      <c r="AV148" s="19">
        <v>1</v>
      </c>
      <c r="AW148" s="19"/>
      <c r="AY148" s="19"/>
      <c r="AZ148" s="20"/>
      <c r="BA148" s="19"/>
      <c r="BB148" s="19"/>
      <c r="BC148" s="19"/>
      <c r="BD148" s="19"/>
      <c r="BE148" s="19"/>
      <c r="BF148" s="19"/>
      <c r="BG148" s="19"/>
      <c r="BH148" s="20"/>
      <c r="BI148" s="19"/>
      <c r="BJ148" s="19"/>
      <c r="BK148" s="20"/>
      <c r="BL148" s="252">
        <v>0.23</v>
      </c>
      <c r="BM148" s="244">
        <f t="shared" ref="BM148" si="90">ROUND((BL148*1.5+4)*10,0)/10</f>
        <v>4.3</v>
      </c>
      <c r="BN148" s="244">
        <f t="shared" ref="BN148" si="91">ROUND((BL148*1.5+10)*10,0)/10</f>
        <v>10.3</v>
      </c>
      <c r="BO148" s="244">
        <f t="shared" ref="BO148" si="92">ROUND(BN148/0.7*1.22,0)</f>
        <v>18</v>
      </c>
      <c r="BP148" s="82">
        <v>0</v>
      </c>
      <c r="BQ148" s="159">
        <v>10</v>
      </c>
      <c r="BR148" s="105"/>
      <c r="BS148" s="105"/>
      <c r="BT148" s="137"/>
      <c r="BU148" s="137"/>
      <c r="BV148" s="143"/>
      <c r="BW148" s="170"/>
      <c r="BX148" s="143"/>
      <c r="BY148" s="143"/>
      <c r="BZ148" s="203"/>
      <c r="CA148" s="143"/>
      <c r="CB148" s="143"/>
      <c r="CC148" s="203"/>
      <c r="CD148" s="203"/>
      <c r="CE148" s="143"/>
      <c r="CF148" s="203"/>
      <c r="CG148" s="181">
        <v>10</v>
      </c>
      <c r="CH148" s="143"/>
      <c r="CI148" s="143"/>
      <c r="CJ148" s="203"/>
      <c r="CK148" s="203"/>
      <c r="CL148" s="203"/>
      <c r="CM148" s="203"/>
      <c r="CN148" s="143"/>
      <c r="CO148" s="143"/>
      <c r="CP148" s="203"/>
      <c r="CQ148" s="143"/>
      <c r="CR148" s="203"/>
      <c r="CS148" s="143"/>
      <c r="CT148" s="300"/>
    </row>
    <row r="149" spans="1:98" x14ac:dyDescent="0.25">
      <c r="A149" s="51" t="s">
        <v>121</v>
      </c>
      <c r="B149" s="35" t="s">
        <v>267</v>
      </c>
      <c r="C149" s="208">
        <v>17470000001514</v>
      </c>
      <c r="D149" s="67" t="s">
        <v>28</v>
      </c>
      <c r="E149" s="67" t="s">
        <v>29</v>
      </c>
      <c r="F149" s="15" t="s">
        <v>61</v>
      </c>
      <c r="G149" s="73" t="s">
        <v>32</v>
      </c>
      <c r="H149" s="15" t="s">
        <v>209</v>
      </c>
      <c r="I149" s="49" t="s">
        <v>479</v>
      </c>
      <c r="J149" s="46">
        <v>1</v>
      </c>
      <c r="K149" s="88" t="s">
        <v>291</v>
      </c>
      <c r="L149" s="49"/>
      <c r="M149" s="30"/>
      <c r="N149" s="49"/>
      <c r="O149" s="49"/>
      <c r="P149" s="49"/>
      <c r="Q149" s="30"/>
      <c r="R149" s="30"/>
      <c r="S149" s="30"/>
      <c r="T149" s="31"/>
      <c r="U149" s="30"/>
      <c r="V149" s="30"/>
      <c r="W149" s="274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274"/>
      <c r="AL149" s="274"/>
      <c r="AM149" s="49"/>
      <c r="AN149" s="274"/>
      <c r="AO149" s="274"/>
      <c r="AP149" s="274"/>
      <c r="AQ149" s="30"/>
      <c r="AR149" s="30"/>
      <c r="AS149" s="30"/>
      <c r="AT149" s="30"/>
      <c r="AU149" s="30"/>
      <c r="AV149" s="30"/>
      <c r="AW149" s="30"/>
      <c r="AX149" s="274"/>
      <c r="AY149" s="30"/>
      <c r="AZ149" s="31"/>
      <c r="BA149" s="30"/>
      <c r="BB149" s="30"/>
      <c r="BC149" s="30"/>
      <c r="BD149" s="30"/>
      <c r="BE149" s="30"/>
      <c r="BF149" s="30"/>
      <c r="BG149" s="30"/>
      <c r="BH149" s="31"/>
      <c r="BI149" s="30"/>
      <c r="BJ149" s="30"/>
      <c r="BK149" s="40">
        <v>1</v>
      </c>
      <c r="BL149" s="254">
        <v>0.26700000000000002</v>
      </c>
      <c r="BM149" s="244">
        <f t="shared" si="63"/>
        <v>4.4000000000000004</v>
      </c>
      <c r="BN149" s="244">
        <f t="shared" si="64"/>
        <v>10.4</v>
      </c>
      <c r="BO149" s="244">
        <f t="shared" si="65"/>
        <v>18</v>
      </c>
      <c r="BP149" s="82">
        <v>0</v>
      </c>
      <c r="BQ149" s="159">
        <v>1</v>
      </c>
      <c r="BR149" s="121">
        <v>1</v>
      </c>
      <c r="BS149" s="109"/>
      <c r="BT149" s="138"/>
      <c r="BU149" s="138"/>
      <c r="BV149" s="144"/>
      <c r="BW149" s="171"/>
      <c r="BX149" s="144"/>
      <c r="BY149" s="144"/>
      <c r="BZ149" s="208"/>
      <c r="CA149" s="144"/>
      <c r="CB149" s="144"/>
      <c r="CC149" s="208"/>
      <c r="CD149" s="208"/>
      <c r="CE149" s="144"/>
      <c r="CF149" s="208"/>
      <c r="CG149" s="144"/>
      <c r="CH149" s="144"/>
      <c r="CI149" s="144"/>
      <c r="CJ149" s="208"/>
      <c r="CK149" s="208"/>
      <c r="CL149" s="208"/>
      <c r="CM149" s="208"/>
      <c r="CN149" s="144"/>
      <c r="CO149" s="144"/>
      <c r="CP149" s="208"/>
      <c r="CQ149" s="144"/>
      <c r="CR149" s="208"/>
      <c r="CS149" s="144"/>
      <c r="CT149" s="300"/>
    </row>
    <row r="150" spans="1:98" x14ac:dyDescent="0.25">
      <c r="A150" s="24" t="s">
        <v>122</v>
      </c>
      <c r="B150" s="18" t="s">
        <v>268</v>
      </c>
      <c r="C150" s="203">
        <v>17470000001582</v>
      </c>
      <c r="D150" s="65" t="s">
        <v>28</v>
      </c>
      <c r="E150" s="65" t="s">
        <v>29</v>
      </c>
      <c r="F150" s="2" t="s">
        <v>62</v>
      </c>
      <c r="G150" s="71" t="s">
        <v>30</v>
      </c>
      <c r="H150" s="130" t="s">
        <v>210</v>
      </c>
      <c r="I150" s="52" t="s">
        <v>480</v>
      </c>
      <c r="J150" s="52">
        <v>1</v>
      </c>
      <c r="K150" s="88" t="s">
        <v>292</v>
      </c>
      <c r="L150" s="77">
        <v>0</v>
      </c>
      <c r="M150" s="22">
        <v>1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23">
        <v>1</v>
      </c>
      <c r="U150" s="19"/>
      <c r="V150" s="19"/>
      <c r="X150" s="77">
        <v>0</v>
      </c>
      <c r="Y150" s="77">
        <v>0</v>
      </c>
      <c r="Z150" s="77">
        <v>0</v>
      </c>
      <c r="AA150" s="77">
        <v>0</v>
      </c>
      <c r="AB150" s="77"/>
      <c r="AC150" s="77"/>
      <c r="AD150" s="19">
        <v>0</v>
      </c>
      <c r="AE150" s="19"/>
      <c r="AF150" s="19"/>
      <c r="AG150" s="19"/>
      <c r="AH150" s="19"/>
      <c r="AI150" s="19"/>
      <c r="AJ150" s="19"/>
      <c r="AM150" s="46"/>
      <c r="AQ150" s="19"/>
      <c r="AR150" s="19"/>
      <c r="AS150" s="19"/>
      <c r="AT150" s="19"/>
      <c r="AU150" s="19"/>
      <c r="AV150" s="19"/>
      <c r="AW150" s="19">
        <v>0</v>
      </c>
      <c r="AY150" s="19">
        <v>0</v>
      </c>
      <c r="AZ150" s="26">
        <v>0</v>
      </c>
      <c r="BA150" s="19">
        <v>0</v>
      </c>
      <c r="BB150" s="19">
        <v>0</v>
      </c>
      <c r="BC150" s="19">
        <v>0</v>
      </c>
      <c r="BD150" s="19"/>
      <c r="BE150" s="19">
        <v>0</v>
      </c>
      <c r="BF150" s="19"/>
      <c r="BG150" s="19"/>
      <c r="BH150" s="20"/>
      <c r="BI150" s="19"/>
      <c r="BJ150" s="19"/>
      <c r="BK150" s="20"/>
      <c r="BL150" s="251">
        <v>2.2120000000000002</v>
      </c>
      <c r="BM150" s="244">
        <f t="shared" si="63"/>
        <v>7.3</v>
      </c>
      <c r="BN150" s="244">
        <f t="shared" si="64"/>
        <v>13.3</v>
      </c>
      <c r="BO150" s="244">
        <f t="shared" si="65"/>
        <v>23</v>
      </c>
      <c r="BP150" s="82">
        <v>26</v>
      </c>
      <c r="BQ150" s="159">
        <v>16</v>
      </c>
      <c r="BR150" s="124">
        <v>1</v>
      </c>
      <c r="BS150" s="107"/>
      <c r="BT150" s="137"/>
      <c r="BU150" s="137"/>
      <c r="BV150" s="143"/>
      <c r="BW150" s="170"/>
      <c r="BX150" s="143"/>
      <c r="BY150" s="143"/>
      <c r="BZ150" s="203"/>
      <c r="CA150" s="143"/>
      <c r="CB150" s="143"/>
      <c r="CC150" s="203"/>
      <c r="CD150" s="203"/>
      <c r="CE150" s="143"/>
      <c r="CF150" s="203"/>
      <c r="CG150" s="143"/>
      <c r="CH150" s="143"/>
      <c r="CI150" s="143"/>
      <c r="CJ150" s="203"/>
      <c r="CK150" s="203"/>
      <c r="CL150" s="203"/>
      <c r="CM150" s="203"/>
      <c r="CN150" s="143"/>
      <c r="CO150" s="143"/>
      <c r="CP150" s="203"/>
      <c r="CQ150" s="143"/>
      <c r="CR150" s="203"/>
      <c r="CS150" s="143"/>
      <c r="CT150" s="300"/>
    </row>
    <row r="151" spans="1:98" x14ac:dyDescent="0.25">
      <c r="A151" s="24" t="s">
        <v>122</v>
      </c>
      <c r="B151" s="18" t="s">
        <v>268</v>
      </c>
      <c r="C151" s="203">
        <v>17470000002245</v>
      </c>
      <c r="D151" s="65" t="s">
        <v>28</v>
      </c>
      <c r="E151" s="65" t="s">
        <v>29</v>
      </c>
      <c r="F151" s="2" t="s">
        <v>62</v>
      </c>
      <c r="G151" s="71" t="s">
        <v>31</v>
      </c>
      <c r="H151" s="2" t="s">
        <v>211</v>
      </c>
      <c r="I151" s="46" t="s">
        <v>481</v>
      </c>
      <c r="J151" s="46">
        <v>1</v>
      </c>
      <c r="K151" s="88" t="s">
        <v>292</v>
      </c>
      <c r="L151" s="46"/>
      <c r="M151" s="19"/>
      <c r="N151" s="46"/>
      <c r="O151" s="46"/>
      <c r="P151" s="46"/>
      <c r="Q151" s="19"/>
      <c r="R151" s="19"/>
      <c r="S151" s="19"/>
      <c r="T151" s="20"/>
      <c r="U151" s="19"/>
      <c r="V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M151" s="46"/>
      <c r="AQ151" s="19"/>
      <c r="AR151" s="19"/>
      <c r="AS151" s="19"/>
      <c r="AT151" s="19"/>
      <c r="AU151" s="19"/>
      <c r="AV151" s="19"/>
      <c r="AW151" s="19"/>
      <c r="AY151" s="19"/>
      <c r="AZ151" s="20"/>
      <c r="BA151" s="19"/>
      <c r="BB151" s="19"/>
      <c r="BC151" s="19"/>
      <c r="BD151" s="19"/>
      <c r="BE151" s="19"/>
      <c r="BF151" s="19"/>
      <c r="BG151" s="19"/>
      <c r="BH151" s="20"/>
      <c r="BI151" s="22">
        <v>1</v>
      </c>
      <c r="BJ151" s="22">
        <v>1</v>
      </c>
      <c r="BK151" s="23">
        <v>0</v>
      </c>
      <c r="BL151" s="252">
        <v>2.6560000000000001</v>
      </c>
      <c r="BM151" s="244">
        <f t="shared" si="63"/>
        <v>8</v>
      </c>
      <c r="BN151" s="244">
        <f t="shared" si="64"/>
        <v>14</v>
      </c>
      <c r="BO151" s="244">
        <f t="shared" si="65"/>
        <v>24</v>
      </c>
      <c r="BP151" s="82">
        <v>2</v>
      </c>
      <c r="BQ151" s="159">
        <v>2</v>
      </c>
      <c r="BR151" s="119">
        <v>1</v>
      </c>
      <c r="BS151" s="107"/>
      <c r="BT151" s="137"/>
      <c r="BU151" s="137"/>
      <c r="BV151" s="143"/>
      <c r="BW151" s="170"/>
      <c r="BX151" s="143"/>
      <c r="BY151" s="143"/>
      <c r="BZ151" s="203"/>
      <c r="CA151" s="143"/>
      <c r="CB151" s="143"/>
      <c r="CC151" s="203"/>
      <c r="CD151" s="203"/>
      <c r="CE151" s="143"/>
      <c r="CF151" s="203"/>
      <c r="CG151" s="143"/>
      <c r="CH151" s="143"/>
      <c r="CI151" s="143"/>
      <c r="CJ151" s="203"/>
      <c r="CK151" s="203"/>
      <c r="CL151" s="203"/>
      <c r="CM151" s="203"/>
      <c r="CN151" s="143"/>
      <c r="CO151" s="143"/>
      <c r="CP151" s="203"/>
      <c r="CQ151" s="143"/>
      <c r="CR151" s="203"/>
      <c r="CS151" s="143"/>
      <c r="CT151" s="300"/>
    </row>
    <row r="152" spans="1:98" x14ac:dyDescent="0.25">
      <c r="A152" s="24" t="s">
        <v>123</v>
      </c>
      <c r="B152" s="18" t="s">
        <v>572</v>
      </c>
      <c r="C152" s="203">
        <v>17470000002231</v>
      </c>
      <c r="D152" s="65" t="s">
        <v>28</v>
      </c>
      <c r="E152" s="65" t="s">
        <v>29</v>
      </c>
      <c r="F152" s="2" t="s">
        <v>62</v>
      </c>
      <c r="G152" s="71" t="s">
        <v>32</v>
      </c>
      <c r="H152" s="2" t="s">
        <v>212</v>
      </c>
      <c r="I152" s="46" t="s">
        <v>482</v>
      </c>
      <c r="J152" s="46">
        <v>1</v>
      </c>
      <c r="K152" s="88" t="s">
        <v>292</v>
      </c>
      <c r="L152" s="46"/>
      <c r="M152" s="19"/>
      <c r="N152" s="46"/>
      <c r="O152" s="46"/>
      <c r="P152" s="46"/>
      <c r="Q152" s="19"/>
      <c r="R152" s="19"/>
      <c r="S152" s="19"/>
      <c r="T152" s="20"/>
      <c r="U152" s="19"/>
      <c r="V152" s="19"/>
      <c r="X152" s="19"/>
      <c r="Y152" s="19"/>
      <c r="Z152" s="19"/>
      <c r="AA152" s="19"/>
      <c r="AB152" s="19"/>
      <c r="AC152" s="19"/>
      <c r="AD152" s="19">
        <v>0</v>
      </c>
      <c r="AE152" s="19"/>
      <c r="AF152" s="19"/>
      <c r="AG152" s="19"/>
      <c r="AH152" s="19"/>
      <c r="AI152" s="19"/>
      <c r="AJ152" s="19"/>
      <c r="AM152" s="46"/>
      <c r="AQ152" s="19"/>
      <c r="AR152" s="19"/>
      <c r="AS152" s="19"/>
      <c r="AT152" s="19"/>
      <c r="AU152" s="19"/>
      <c r="AV152" s="19"/>
      <c r="AW152" s="19">
        <v>0</v>
      </c>
      <c r="AY152" s="19">
        <v>0</v>
      </c>
      <c r="AZ152" s="19">
        <v>0</v>
      </c>
      <c r="BA152" s="117">
        <v>1</v>
      </c>
      <c r="BB152" s="19">
        <v>1</v>
      </c>
      <c r="BC152" s="27">
        <v>1</v>
      </c>
      <c r="BD152" s="19"/>
      <c r="BE152" s="27">
        <v>1</v>
      </c>
      <c r="BF152" s="19">
        <v>1</v>
      </c>
      <c r="BG152" s="19"/>
      <c r="BH152" s="28">
        <v>1</v>
      </c>
      <c r="BI152" s="19">
        <v>0</v>
      </c>
      <c r="BJ152" s="19">
        <v>0</v>
      </c>
      <c r="BK152" s="20">
        <v>0</v>
      </c>
      <c r="BL152" s="251">
        <v>2.6560000000000001</v>
      </c>
      <c r="BM152" s="244">
        <f t="shared" si="63"/>
        <v>8</v>
      </c>
      <c r="BN152" s="244">
        <f t="shared" si="64"/>
        <v>14</v>
      </c>
      <c r="BO152" s="244">
        <f t="shared" si="65"/>
        <v>24</v>
      </c>
      <c r="BP152" s="82">
        <v>16</v>
      </c>
      <c r="BQ152" s="159">
        <v>7</v>
      </c>
      <c r="BR152" s="119">
        <v>1</v>
      </c>
      <c r="BS152" s="107"/>
      <c r="BT152" s="137"/>
      <c r="BU152" s="119">
        <v>1</v>
      </c>
      <c r="BV152" s="143"/>
      <c r="BW152" s="182">
        <v>7</v>
      </c>
      <c r="BX152" s="143"/>
      <c r="BY152" s="143"/>
      <c r="BZ152" s="203"/>
      <c r="CA152" s="143"/>
      <c r="CB152" s="143"/>
      <c r="CC152" s="203"/>
      <c r="CD152" s="203"/>
      <c r="CE152" s="143"/>
      <c r="CF152" s="203"/>
      <c r="CG152" s="143"/>
      <c r="CH152" s="181">
        <v>5</v>
      </c>
      <c r="CI152" s="143"/>
      <c r="CJ152" s="203">
        <v>5</v>
      </c>
      <c r="CK152" s="203"/>
      <c r="CL152" s="203"/>
      <c r="CM152" s="203"/>
      <c r="CN152" s="143"/>
      <c r="CO152" s="143"/>
      <c r="CP152" s="203"/>
      <c r="CQ152" s="143">
        <v>5</v>
      </c>
      <c r="CR152" s="203">
        <v>5</v>
      </c>
      <c r="CS152" s="143"/>
      <c r="CT152" s="300"/>
    </row>
    <row r="153" spans="1:98" x14ac:dyDescent="0.25">
      <c r="A153" s="24" t="s">
        <v>123</v>
      </c>
      <c r="B153" s="18" t="s">
        <v>571</v>
      </c>
      <c r="C153" s="203">
        <v>17470000009537</v>
      </c>
      <c r="D153" s="65" t="s">
        <v>28</v>
      </c>
      <c r="E153" s="65" t="s">
        <v>29</v>
      </c>
      <c r="F153" s="2" t="s">
        <v>62</v>
      </c>
      <c r="G153" s="71" t="s">
        <v>32</v>
      </c>
      <c r="H153" s="2" t="s">
        <v>573</v>
      </c>
      <c r="I153" s="46"/>
      <c r="J153" s="46"/>
      <c r="K153" s="88" t="s">
        <v>292</v>
      </c>
      <c r="L153" s="46"/>
      <c r="M153" s="19"/>
      <c r="N153" s="46"/>
      <c r="O153" s="46"/>
      <c r="P153" s="46"/>
      <c r="Q153" s="19"/>
      <c r="R153" s="19"/>
      <c r="S153" s="19"/>
      <c r="T153" s="20"/>
      <c r="U153" s="19"/>
      <c r="V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M153" s="46"/>
      <c r="AQ153" s="19"/>
      <c r="AR153" s="19"/>
      <c r="AS153" s="19"/>
      <c r="AT153" s="19"/>
      <c r="AU153" s="19"/>
      <c r="AV153" s="19"/>
      <c r="AW153" s="19"/>
      <c r="AY153" s="19"/>
      <c r="AZ153" s="19"/>
      <c r="BA153" s="19"/>
      <c r="BB153" s="19"/>
      <c r="BC153" s="19"/>
      <c r="BD153" s="19">
        <v>1</v>
      </c>
      <c r="BE153" s="19"/>
      <c r="BF153" s="19"/>
      <c r="BG153" s="19">
        <v>1</v>
      </c>
      <c r="BH153" s="20"/>
      <c r="BI153" s="19"/>
      <c r="BJ153" s="19"/>
      <c r="BK153" s="20"/>
      <c r="BL153" s="252">
        <v>2.58</v>
      </c>
      <c r="BM153" s="244">
        <f t="shared" si="63"/>
        <v>7.9</v>
      </c>
      <c r="BN153" s="244">
        <f t="shared" si="64"/>
        <v>13.9</v>
      </c>
      <c r="BO153" s="244">
        <f t="shared" si="65"/>
        <v>24</v>
      </c>
      <c r="BP153" s="82">
        <v>0</v>
      </c>
      <c r="BQ153" s="159">
        <v>5</v>
      </c>
      <c r="BR153" s="119"/>
      <c r="BS153" s="107"/>
      <c r="BT153" s="137"/>
      <c r="BU153" s="107"/>
      <c r="BV153" s="143"/>
      <c r="BW153" s="197"/>
      <c r="BX153" s="143"/>
      <c r="BY153" s="143"/>
      <c r="BZ153" s="203"/>
      <c r="CA153" s="143"/>
      <c r="CB153" s="181">
        <v>5</v>
      </c>
      <c r="CC153" s="203"/>
      <c r="CD153" s="203">
        <v>5</v>
      </c>
      <c r="CE153" s="143"/>
      <c r="CF153" s="203"/>
      <c r="CG153" s="143"/>
      <c r="CH153" s="143"/>
      <c r="CI153" s="143"/>
      <c r="CJ153" s="203"/>
      <c r="CK153" s="203"/>
      <c r="CL153" s="203"/>
      <c r="CM153" s="203"/>
      <c r="CN153" s="143"/>
      <c r="CO153" s="143"/>
      <c r="CP153" s="203"/>
      <c r="CQ153" s="143"/>
      <c r="CR153" s="203"/>
      <c r="CS153" s="143"/>
      <c r="CT153" s="300"/>
    </row>
    <row r="154" spans="1:98" ht="26.4" x14ac:dyDescent="0.25">
      <c r="A154" s="127" t="s">
        <v>122</v>
      </c>
      <c r="B154" s="18" t="s">
        <v>268</v>
      </c>
      <c r="C154" s="205" t="s">
        <v>323</v>
      </c>
      <c r="D154" s="70" t="s">
        <v>28</v>
      </c>
      <c r="E154" s="70" t="s">
        <v>29</v>
      </c>
      <c r="F154" s="1" t="s">
        <v>62</v>
      </c>
      <c r="G154" s="110" t="s">
        <v>37</v>
      </c>
      <c r="H154" s="1" t="s">
        <v>324</v>
      </c>
      <c r="I154" s="46" t="s">
        <v>483</v>
      </c>
      <c r="J154" s="46">
        <v>1</v>
      </c>
      <c r="K154" s="93" t="s">
        <v>292</v>
      </c>
      <c r="L154" s="46"/>
      <c r="M154" s="111"/>
      <c r="N154" s="46"/>
      <c r="O154" s="46"/>
      <c r="P154" s="46"/>
      <c r="Q154" s="111"/>
      <c r="R154" s="111"/>
      <c r="S154" s="111"/>
      <c r="T154" s="112"/>
      <c r="U154" s="111"/>
      <c r="V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M154" s="46"/>
      <c r="AQ154" s="111"/>
      <c r="AR154" s="111"/>
      <c r="AS154" s="111"/>
      <c r="AT154" s="111"/>
      <c r="AU154" s="111"/>
      <c r="AV154" s="111"/>
      <c r="AW154" s="111"/>
      <c r="AY154" s="111"/>
      <c r="AZ154" s="112"/>
      <c r="BA154" s="6"/>
      <c r="BB154" s="6"/>
      <c r="BC154" s="6"/>
      <c r="BD154" s="6"/>
      <c r="BH154" s="116">
        <v>1</v>
      </c>
      <c r="BI154" s="111"/>
      <c r="BJ154" s="111"/>
      <c r="BK154" s="112"/>
      <c r="BL154" s="257">
        <v>2.6560000000000001</v>
      </c>
      <c r="BM154" s="244">
        <f t="shared" si="63"/>
        <v>8</v>
      </c>
      <c r="BN154" s="244">
        <f t="shared" si="64"/>
        <v>14</v>
      </c>
      <c r="BO154" s="244">
        <f t="shared" si="65"/>
        <v>24</v>
      </c>
      <c r="BP154" s="82">
        <v>4</v>
      </c>
      <c r="BQ154" s="159">
        <v>8</v>
      </c>
      <c r="BR154" s="105"/>
      <c r="BS154" s="105"/>
      <c r="BT154" s="119">
        <v>4</v>
      </c>
      <c r="BU154" s="107"/>
      <c r="BV154" s="143"/>
      <c r="BW154" s="182">
        <v>3</v>
      </c>
      <c r="BX154" s="143"/>
      <c r="BY154" s="143"/>
      <c r="BZ154" s="203"/>
      <c r="CA154" s="143"/>
      <c r="CB154" s="143"/>
      <c r="CC154" s="240"/>
      <c r="CD154" s="240">
        <v>20</v>
      </c>
      <c r="CE154" s="143"/>
      <c r="CF154" s="240"/>
      <c r="CG154" s="143"/>
      <c r="CH154" s="181">
        <v>5</v>
      </c>
      <c r="CI154" s="143"/>
      <c r="CJ154" s="203"/>
      <c r="CK154" s="203">
        <v>5</v>
      </c>
      <c r="CL154" s="203"/>
      <c r="CM154" s="203"/>
      <c r="CN154" s="143"/>
      <c r="CO154" s="143"/>
      <c r="CP154" s="203"/>
      <c r="CQ154" s="143">
        <v>5</v>
      </c>
      <c r="CR154" s="203">
        <v>5</v>
      </c>
      <c r="CS154" s="143"/>
      <c r="CT154" s="300"/>
    </row>
    <row r="155" spans="1:98" ht="26.4" x14ac:dyDescent="0.25">
      <c r="A155" s="127" t="s">
        <v>122</v>
      </c>
      <c r="B155" s="18" t="s">
        <v>268</v>
      </c>
      <c r="C155" s="205" t="s">
        <v>366</v>
      </c>
      <c r="D155" s="70" t="s">
        <v>28</v>
      </c>
      <c r="E155" s="70" t="s">
        <v>29</v>
      </c>
      <c r="F155" s="1" t="s">
        <v>62</v>
      </c>
      <c r="G155" s="110" t="s">
        <v>40</v>
      </c>
      <c r="H155" s="1" t="s">
        <v>371</v>
      </c>
      <c r="I155" s="46" t="s">
        <v>484</v>
      </c>
      <c r="J155" s="46">
        <v>1</v>
      </c>
      <c r="K155" s="93" t="s">
        <v>292</v>
      </c>
      <c r="L155" s="46"/>
      <c r="M155" s="111"/>
      <c r="N155" s="46"/>
      <c r="O155" s="46"/>
      <c r="P155" s="46">
        <v>1</v>
      </c>
      <c r="Q155" s="111">
        <v>1</v>
      </c>
      <c r="R155" s="111">
        <v>1</v>
      </c>
      <c r="S155" s="111">
        <v>1</v>
      </c>
      <c r="T155" s="112"/>
      <c r="U155" s="111"/>
      <c r="V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M155" s="46"/>
      <c r="AQ155" s="111"/>
      <c r="AR155" s="111"/>
      <c r="AS155" s="111"/>
      <c r="AT155" s="111"/>
      <c r="AU155" s="111"/>
      <c r="AV155" s="111"/>
      <c r="AW155" s="111"/>
      <c r="AY155" s="111"/>
      <c r="AZ155" s="112"/>
      <c r="BA155" s="6"/>
      <c r="BB155" s="6"/>
      <c r="BC155" s="6"/>
      <c r="BD155" s="6"/>
      <c r="BH155" s="112"/>
      <c r="BI155" s="111"/>
      <c r="BJ155" s="111"/>
      <c r="BK155" s="112"/>
      <c r="BL155" s="252">
        <v>0.91</v>
      </c>
      <c r="BM155" s="244">
        <f t="shared" si="63"/>
        <v>5.4</v>
      </c>
      <c r="BN155" s="244">
        <f t="shared" si="64"/>
        <v>11.4</v>
      </c>
      <c r="BO155" s="244">
        <f t="shared" si="65"/>
        <v>20</v>
      </c>
      <c r="BP155" s="82">
        <v>1</v>
      </c>
      <c r="BQ155" s="159">
        <v>4</v>
      </c>
      <c r="BR155" s="105"/>
      <c r="BS155" s="105"/>
      <c r="BT155" s="107"/>
      <c r="BU155" s="119">
        <v>5</v>
      </c>
      <c r="BV155" s="143"/>
      <c r="BW155" s="170"/>
      <c r="BX155" s="143"/>
      <c r="BY155" s="143"/>
      <c r="BZ155" s="203"/>
      <c r="CA155" s="143"/>
      <c r="CB155" s="143"/>
      <c r="CC155" s="240"/>
      <c r="CD155" s="240">
        <v>20</v>
      </c>
      <c r="CE155" s="143"/>
      <c r="CF155" s="240"/>
      <c r="CG155" s="143"/>
      <c r="CH155" s="143"/>
      <c r="CI155" s="143"/>
      <c r="CJ155" s="203"/>
      <c r="CK155" s="203"/>
      <c r="CL155" s="203"/>
      <c r="CM155" s="203"/>
      <c r="CN155" s="143"/>
      <c r="CO155" s="143"/>
      <c r="CP155" s="203"/>
      <c r="CQ155" s="143">
        <v>5</v>
      </c>
      <c r="CR155" s="203">
        <v>5</v>
      </c>
      <c r="CS155" s="143"/>
      <c r="CT155" s="300"/>
    </row>
    <row r="156" spans="1:98" x14ac:dyDescent="0.25">
      <c r="A156" s="127" t="s">
        <v>123</v>
      </c>
      <c r="B156" s="18" t="s">
        <v>343</v>
      </c>
      <c r="C156" s="205">
        <v>17470000009474</v>
      </c>
      <c r="D156" s="65" t="s">
        <v>28</v>
      </c>
      <c r="E156" s="65" t="s">
        <v>29</v>
      </c>
      <c r="F156" s="2" t="s">
        <v>62</v>
      </c>
      <c r="G156" s="71" t="s">
        <v>38</v>
      </c>
      <c r="H156" s="1" t="s">
        <v>344</v>
      </c>
      <c r="I156" s="46" t="s">
        <v>485</v>
      </c>
      <c r="J156" s="46">
        <v>1</v>
      </c>
      <c r="K156" s="88" t="s">
        <v>292</v>
      </c>
      <c r="L156" s="46"/>
      <c r="M156" s="111"/>
      <c r="N156" s="46"/>
      <c r="O156" s="46"/>
      <c r="P156" s="46"/>
      <c r="Q156" s="111"/>
      <c r="R156" s="111"/>
      <c r="S156" s="111"/>
      <c r="T156" s="112"/>
      <c r="U156" s="111"/>
      <c r="V156" s="111"/>
      <c r="X156" s="111"/>
      <c r="Y156" s="111"/>
      <c r="Z156" s="111"/>
      <c r="AA156" s="111"/>
      <c r="AB156" s="111"/>
      <c r="AC156" s="111"/>
      <c r="AD156" s="114">
        <v>1</v>
      </c>
      <c r="AE156" s="111"/>
      <c r="AF156" s="111"/>
      <c r="AG156" s="111"/>
      <c r="AH156" s="111"/>
      <c r="AI156" s="111"/>
      <c r="AJ156" s="111"/>
      <c r="AM156" s="46"/>
      <c r="AQ156" s="111"/>
      <c r="AR156" s="111"/>
      <c r="AS156" s="111"/>
      <c r="AT156" s="111"/>
      <c r="AU156" s="111"/>
      <c r="AV156" s="111"/>
      <c r="AW156" s="114">
        <v>1</v>
      </c>
      <c r="AX156" s="115">
        <v>1</v>
      </c>
      <c r="AY156" s="114">
        <v>1</v>
      </c>
      <c r="AZ156" s="114">
        <v>1</v>
      </c>
      <c r="BA156" s="128"/>
      <c r="BB156" s="111"/>
      <c r="BC156" s="111"/>
      <c r="BD156" s="111"/>
      <c r="BE156" s="111"/>
      <c r="BF156" s="111"/>
      <c r="BG156" s="111"/>
      <c r="BH156" s="112"/>
      <c r="BI156" s="111"/>
      <c r="BJ156" s="111"/>
      <c r="BK156" s="112"/>
      <c r="BL156" s="252">
        <v>2.6560000000000001</v>
      </c>
      <c r="BM156" s="244">
        <f t="shared" si="63"/>
        <v>8</v>
      </c>
      <c r="BN156" s="244">
        <f t="shared" si="64"/>
        <v>14</v>
      </c>
      <c r="BO156" s="244">
        <f t="shared" si="65"/>
        <v>24</v>
      </c>
      <c r="BP156" s="82">
        <v>2</v>
      </c>
      <c r="BQ156" s="159">
        <v>10</v>
      </c>
      <c r="BR156" s="105"/>
      <c r="BS156" s="105"/>
      <c r="BT156" s="137"/>
      <c r="BU156" s="119">
        <v>4</v>
      </c>
      <c r="BV156" s="143"/>
      <c r="BW156" s="170"/>
      <c r="BX156" s="143"/>
      <c r="BY156" s="143"/>
      <c r="BZ156" s="203"/>
      <c r="CA156" s="181">
        <v>5</v>
      </c>
      <c r="CB156" s="143"/>
      <c r="CC156" s="203"/>
      <c r="CD156" s="203">
        <v>5</v>
      </c>
      <c r="CE156" s="143"/>
      <c r="CF156" s="203"/>
      <c r="CG156" s="143"/>
      <c r="CH156" s="143"/>
      <c r="CI156" s="143"/>
      <c r="CJ156" s="203"/>
      <c r="CK156" s="203"/>
      <c r="CL156" s="203"/>
      <c r="CM156" s="203"/>
      <c r="CN156" s="143"/>
      <c r="CO156" s="143"/>
      <c r="CP156" s="203"/>
      <c r="CQ156" s="143"/>
      <c r="CR156" s="203"/>
      <c r="CS156" s="143"/>
      <c r="CT156" s="300"/>
    </row>
    <row r="157" spans="1:98" s="7" customFormat="1" ht="26.4" x14ac:dyDescent="0.25">
      <c r="A157" s="127" t="s">
        <v>123</v>
      </c>
      <c r="B157" s="18" t="s">
        <v>533</v>
      </c>
      <c r="C157" s="205" t="s">
        <v>534</v>
      </c>
      <c r="D157" s="70" t="s">
        <v>28</v>
      </c>
      <c r="E157" s="70" t="s">
        <v>29</v>
      </c>
      <c r="F157" s="1" t="s">
        <v>62</v>
      </c>
      <c r="G157" s="110" t="s">
        <v>41</v>
      </c>
      <c r="H157" s="1" t="s">
        <v>532</v>
      </c>
      <c r="I157" s="46"/>
      <c r="J157" s="46">
        <v>1</v>
      </c>
      <c r="K157" s="93" t="s">
        <v>292</v>
      </c>
      <c r="L157" s="46"/>
      <c r="M157" s="111"/>
      <c r="N157" s="46"/>
      <c r="O157" s="46"/>
      <c r="P157" s="46"/>
      <c r="Q157" s="111"/>
      <c r="R157" s="111"/>
      <c r="S157" s="111"/>
      <c r="T157" s="112"/>
      <c r="U157" s="111"/>
      <c r="V157" s="111"/>
      <c r="W157" s="272"/>
      <c r="X157" s="111"/>
      <c r="Y157" s="111"/>
      <c r="Z157" s="111"/>
      <c r="AA157" s="111"/>
      <c r="AB157" s="111">
        <v>1</v>
      </c>
      <c r="AC157" s="111">
        <v>1</v>
      </c>
      <c r="AD157" s="111"/>
      <c r="AE157" s="111"/>
      <c r="AF157" s="111"/>
      <c r="AG157" s="111"/>
      <c r="AH157" s="111"/>
      <c r="AI157" s="111"/>
      <c r="AJ157" s="111"/>
      <c r="AK157" s="272"/>
      <c r="AL157" s="272"/>
      <c r="AM157" s="46"/>
      <c r="AN157" s="272"/>
      <c r="AO157" s="272"/>
      <c r="AP157" s="272"/>
      <c r="AQ157" s="111"/>
      <c r="AR157" s="111"/>
      <c r="AS157" s="111"/>
      <c r="AT157" s="111"/>
      <c r="AU157" s="111"/>
      <c r="AV157" s="111"/>
      <c r="AW157" s="111"/>
      <c r="AX157" s="272"/>
      <c r="AY157" s="111"/>
      <c r="AZ157" s="112"/>
      <c r="BA157" s="111"/>
      <c r="BB157" s="111"/>
      <c r="BC157" s="111"/>
      <c r="BD157" s="111"/>
      <c r="BE157" s="111"/>
      <c r="BF157" s="111"/>
      <c r="BG157" s="111"/>
      <c r="BH157" s="112"/>
      <c r="BI157" s="111"/>
      <c r="BJ157" s="111"/>
      <c r="BK157" s="112"/>
      <c r="BL157" s="252">
        <v>1.38</v>
      </c>
      <c r="BM157" s="244">
        <f t="shared" si="63"/>
        <v>6.1</v>
      </c>
      <c r="BN157" s="244">
        <f t="shared" si="64"/>
        <v>12.1</v>
      </c>
      <c r="BO157" s="244">
        <f t="shared" si="65"/>
        <v>21</v>
      </c>
      <c r="BP157" s="82">
        <v>16</v>
      </c>
      <c r="BQ157" s="159">
        <v>9</v>
      </c>
      <c r="BR157" s="105"/>
      <c r="BS157" s="105"/>
      <c r="BT157" s="137"/>
      <c r="BU157" s="107"/>
      <c r="BV157" s="143"/>
      <c r="BW157" s="170"/>
      <c r="BX157" s="143"/>
      <c r="BY157" s="181">
        <v>10</v>
      </c>
      <c r="BZ157" s="203">
        <v>10</v>
      </c>
      <c r="CA157" s="143"/>
      <c r="CB157" s="181">
        <v>10</v>
      </c>
      <c r="CC157" s="203"/>
      <c r="CD157" s="203">
        <v>10</v>
      </c>
      <c r="CE157" s="181">
        <v>5</v>
      </c>
      <c r="CF157" s="203">
        <v>5</v>
      </c>
      <c r="CG157" s="143"/>
      <c r="CH157" s="181">
        <v>30</v>
      </c>
      <c r="CI157" s="143"/>
      <c r="CJ157" s="203"/>
      <c r="CK157" s="203">
        <v>30</v>
      </c>
      <c r="CL157" s="203"/>
      <c r="CM157" s="203"/>
      <c r="CN157" s="143"/>
      <c r="CO157" s="143"/>
      <c r="CP157" s="203"/>
      <c r="CQ157" s="143">
        <v>10</v>
      </c>
      <c r="CR157" s="203">
        <v>10</v>
      </c>
      <c r="CS157" s="143"/>
      <c r="CT157" s="300"/>
    </row>
    <row r="158" spans="1:98" s="7" customFormat="1" x14ac:dyDescent="0.25">
      <c r="A158" s="127" t="s">
        <v>123</v>
      </c>
      <c r="B158" s="18" t="s">
        <v>268</v>
      </c>
      <c r="C158" s="205">
        <v>17470000023019</v>
      </c>
      <c r="D158" s="70" t="s">
        <v>28</v>
      </c>
      <c r="E158" s="70" t="s">
        <v>29</v>
      </c>
      <c r="F158" s="1" t="s">
        <v>62</v>
      </c>
      <c r="G158" s="110" t="s">
        <v>43</v>
      </c>
      <c r="H158" s="1" t="s">
        <v>665</v>
      </c>
      <c r="I158" s="46"/>
      <c r="J158" s="46"/>
      <c r="K158" s="93" t="s">
        <v>292</v>
      </c>
      <c r="L158" s="46"/>
      <c r="M158" s="111"/>
      <c r="N158" s="46"/>
      <c r="O158" s="46"/>
      <c r="P158" s="46"/>
      <c r="Q158" s="111"/>
      <c r="R158" s="111"/>
      <c r="S158" s="111"/>
      <c r="T158" s="112"/>
      <c r="U158" s="111"/>
      <c r="V158" s="111"/>
      <c r="W158" s="272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272"/>
      <c r="AL158" s="272"/>
      <c r="AM158" s="46"/>
      <c r="AN158" s="272"/>
      <c r="AO158" s="272"/>
      <c r="AP158" s="272"/>
      <c r="AQ158" s="111"/>
      <c r="AR158" s="111"/>
      <c r="AS158" s="111"/>
      <c r="AT158" s="111"/>
      <c r="AU158" s="111">
        <v>1</v>
      </c>
      <c r="AV158" s="111">
        <v>1</v>
      </c>
      <c r="AW158" s="111"/>
      <c r="AX158" s="272"/>
      <c r="AY158" s="111"/>
      <c r="AZ158" s="112"/>
      <c r="BA158" s="111"/>
      <c r="BB158" s="111"/>
      <c r="BC158" s="111"/>
      <c r="BD158" s="111"/>
      <c r="BE158" s="111"/>
      <c r="BF158" s="111"/>
      <c r="BG158" s="111"/>
      <c r="BH158" s="112"/>
      <c r="BI158" s="111"/>
      <c r="BJ158" s="111"/>
      <c r="BK158" s="112"/>
      <c r="BL158" s="252">
        <v>3.54</v>
      </c>
      <c r="BM158" s="244">
        <f t="shared" ref="BM158" si="93">ROUND((BL158*1.5+4)*10,0)/10</f>
        <v>9.3000000000000007</v>
      </c>
      <c r="BN158" s="244">
        <f t="shared" ref="BN158" si="94">ROUND((BL158*1.5+10)*10,0)/10</f>
        <v>15.3</v>
      </c>
      <c r="BO158" s="244">
        <f t="shared" ref="BO158" si="95">ROUND(BN158/0.7*1.22,0)</f>
        <v>27</v>
      </c>
      <c r="BP158" s="82">
        <v>0</v>
      </c>
      <c r="BQ158" s="159">
        <v>5</v>
      </c>
      <c r="BR158" s="105"/>
      <c r="BS158" s="105"/>
      <c r="BT158" s="137"/>
      <c r="BU158" s="107"/>
      <c r="BV158" s="143"/>
      <c r="BW158" s="170"/>
      <c r="BX158" s="143"/>
      <c r="BY158" s="196"/>
      <c r="BZ158" s="203"/>
      <c r="CA158" s="143"/>
      <c r="CB158" s="143"/>
      <c r="CC158" s="203"/>
      <c r="CD158" s="203"/>
      <c r="CE158" s="143"/>
      <c r="CF158" s="203"/>
      <c r="CG158" s="181">
        <v>5</v>
      </c>
      <c r="CH158" s="143"/>
      <c r="CI158" s="143"/>
      <c r="CJ158" s="203"/>
      <c r="CK158" s="203"/>
      <c r="CL158" s="203"/>
      <c r="CM158" s="203"/>
      <c r="CN158" s="143"/>
      <c r="CO158" s="143"/>
      <c r="CP158" s="203"/>
      <c r="CQ158" s="143">
        <v>5</v>
      </c>
      <c r="CR158" s="203">
        <v>5</v>
      </c>
      <c r="CS158" s="143"/>
      <c r="CT158" s="300"/>
    </row>
    <row r="159" spans="1:98" s="7" customFormat="1" x14ac:dyDescent="0.25">
      <c r="A159" s="127" t="s">
        <v>123</v>
      </c>
      <c r="B159" s="18" t="s">
        <v>691</v>
      </c>
      <c r="C159" s="205">
        <v>17470000009988</v>
      </c>
      <c r="D159" s="70" t="s">
        <v>28</v>
      </c>
      <c r="E159" s="70" t="s">
        <v>29</v>
      </c>
      <c r="F159" s="1" t="s">
        <v>62</v>
      </c>
      <c r="G159" s="110" t="s">
        <v>44</v>
      </c>
      <c r="H159" s="263" t="s">
        <v>692</v>
      </c>
      <c r="I159" s="46"/>
      <c r="J159" s="46"/>
      <c r="K159" s="93" t="s">
        <v>292</v>
      </c>
      <c r="L159" s="46"/>
      <c r="M159" s="111"/>
      <c r="N159" s="46"/>
      <c r="O159" s="46"/>
      <c r="P159" s="46"/>
      <c r="Q159" s="111"/>
      <c r="R159" s="111"/>
      <c r="S159" s="111"/>
      <c r="T159" s="112"/>
      <c r="U159" s="111">
        <v>1</v>
      </c>
      <c r="V159" s="111">
        <v>1</v>
      </c>
      <c r="W159" s="46">
        <v>1</v>
      </c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272"/>
      <c r="AL159" s="272"/>
      <c r="AM159" s="46"/>
      <c r="AN159" s="272"/>
      <c r="AO159" s="272"/>
      <c r="AP159" s="272"/>
      <c r="AQ159" s="111"/>
      <c r="AR159" s="111"/>
      <c r="AS159" s="111"/>
      <c r="AT159" s="111"/>
      <c r="AU159" s="111"/>
      <c r="AV159" s="111"/>
      <c r="AW159" s="111"/>
      <c r="AX159" s="272"/>
      <c r="AY159" s="111"/>
      <c r="AZ159" s="112"/>
      <c r="BA159" s="111"/>
      <c r="BB159" s="111"/>
      <c r="BC159" s="111"/>
      <c r="BD159" s="111"/>
      <c r="BE159" s="111"/>
      <c r="BF159" s="111"/>
      <c r="BG159" s="111"/>
      <c r="BH159" s="112"/>
      <c r="BI159" s="111"/>
      <c r="BJ159" s="111"/>
      <c r="BK159" s="112"/>
      <c r="BL159" s="252">
        <v>2.2799999999999998</v>
      </c>
      <c r="BM159" s="244">
        <f t="shared" ref="BM159" si="96">ROUND((BL159*1.5+4)*10,0)/10</f>
        <v>7.4</v>
      </c>
      <c r="BN159" s="244">
        <f t="shared" ref="BN159" si="97">ROUND((BL159*1.5+10)*10,0)/10</f>
        <v>13.4</v>
      </c>
      <c r="BO159" s="244">
        <f t="shared" ref="BO159" si="98">ROUND(BN159/0.7*1.22,0)</f>
        <v>23</v>
      </c>
      <c r="BP159" s="82"/>
      <c r="BQ159" s="159"/>
      <c r="BR159" s="105"/>
      <c r="BS159" s="105"/>
      <c r="BT159" s="137"/>
      <c r="BU159" s="107"/>
      <c r="BV159" s="143"/>
      <c r="BW159" s="170"/>
      <c r="BX159" s="143"/>
      <c r="BY159" s="196"/>
      <c r="BZ159" s="203"/>
      <c r="CA159" s="143"/>
      <c r="CB159" s="143"/>
      <c r="CC159" s="203"/>
      <c r="CD159" s="203"/>
      <c r="CE159" s="143"/>
      <c r="CF159" s="203"/>
      <c r="CG159" s="196"/>
      <c r="CH159" s="181">
        <v>10</v>
      </c>
      <c r="CI159" s="143"/>
      <c r="CJ159" s="203">
        <v>10</v>
      </c>
      <c r="CK159" s="203"/>
      <c r="CL159" s="203"/>
      <c r="CM159" s="203"/>
      <c r="CN159" s="143"/>
      <c r="CO159" s="143"/>
      <c r="CP159" s="203"/>
      <c r="CQ159" s="143"/>
      <c r="CR159" s="203"/>
      <c r="CS159" s="143"/>
      <c r="CT159" s="300"/>
    </row>
    <row r="160" spans="1:98" x14ac:dyDescent="0.25">
      <c r="A160" s="127" t="s">
        <v>122</v>
      </c>
      <c r="B160" s="18" t="s">
        <v>268</v>
      </c>
      <c r="C160" s="205">
        <v>17470000009975</v>
      </c>
      <c r="D160" s="65" t="s">
        <v>28</v>
      </c>
      <c r="E160" s="65" t="s">
        <v>29</v>
      </c>
      <c r="F160" s="2" t="s">
        <v>62</v>
      </c>
      <c r="G160" s="71" t="s">
        <v>39</v>
      </c>
      <c r="H160" s="1" t="s">
        <v>345</v>
      </c>
      <c r="I160" s="46" t="s">
        <v>486</v>
      </c>
      <c r="J160" s="46">
        <v>1</v>
      </c>
      <c r="K160" s="88" t="s">
        <v>292</v>
      </c>
      <c r="L160" s="129">
        <v>1</v>
      </c>
      <c r="M160" s="30"/>
      <c r="N160" s="129">
        <v>1</v>
      </c>
      <c r="O160" s="129">
        <v>1</v>
      </c>
      <c r="P160" s="49"/>
      <c r="Q160" s="30"/>
      <c r="R160" s="30"/>
      <c r="S160" s="30"/>
      <c r="T160" s="31"/>
      <c r="U160" s="30"/>
      <c r="V160" s="30"/>
      <c r="W160" s="274"/>
      <c r="X160" s="129">
        <v>1</v>
      </c>
      <c r="Y160" s="129">
        <v>1</v>
      </c>
      <c r="Z160" s="129">
        <v>1</v>
      </c>
      <c r="AA160" s="49">
        <v>1</v>
      </c>
      <c r="AB160" s="49"/>
      <c r="AC160" s="49"/>
      <c r="AD160" s="30"/>
      <c r="AE160" s="30">
        <v>1</v>
      </c>
      <c r="AF160" s="30">
        <v>1</v>
      </c>
      <c r="AG160" s="30">
        <v>1</v>
      </c>
      <c r="AH160" s="30">
        <v>1</v>
      </c>
      <c r="AI160" s="30">
        <v>1</v>
      </c>
      <c r="AJ160" s="49" t="s">
        <v>755</v>
      </c>
      <c r="AK160" s="49">
        <v>1</v>
      </c>
      <c r="AL160" s="49">
        <v>1</v>
      </c>
      <c r="AM160" s="49">
        <v>1</v>
      </c>
      <c r="AN160" s="49">
        <v>1</v>
      </c>
      <c r="AO160" s="49">
        <v>1</v>
      </c>
      <c r="AP160" s="49">
        <v>1</v>
      </c>
      <c r="AQ160" s="30">
        <v>1</v>
      </c>
      <c r="AR160" s="30">
        <v>1</v>
      </c>
      <c r="AS160" s="30">
        <v>1</v>
      </c>
      <c r="AT160" s="30">
        <v>1</v>
      </c>
      <c r="AU160" s="30"/>
      <c r="AV160" s="30"/>
      <c r="AW160" s="30"/>
      <c r="AX160" s="274"/>
      <c r="AY160" s="30"/>
      <c r="AZ160" s="31"/>
      <c r="BA160" s="30"/>
      <c r="BB160" s="30"/>
      <c r="BC160" s="30"/>
      <c r="BD160" s="30"/>
      <c r="BE160" s="30"/>
      <c r="BF160" s="30"/>
      <c r="BG160" s="30"/>
      <c r="BH160" s="31"/>
      <c r="BI160" s="30"/>
      <c r="BJ160" s="30"/>
      <c r="BK160" s="31"/>
      <c r="BL160" s="254">
        <v>2.6</v>
      </c>
      <c r="BM160" s="244">
        <f t="shared" si="63"/>
        <v>7.9</v>
      </c>
      <c r="BN160" s="244">
        <f t="shared" si="64"/>
        <v>13.9</v>
      </c>
      <c r="BO160" s="244">
        <f t="shared" si="65"/>
        <v>24</v>
      </c>
      <c r="BP160" s="82">
        <v>2</v>
      </c>
      <c r="BQ160" s="159">
        <v>28</v>
      </c>
      <c r="BR160" s="109"/>
      <c r="BS160" s="109"/>
      <c r="BT160" s="138"/>
      <c r="BU160" s="121">
        <v>5</v>
      </c>
      <c r="BV160" s="179">
        <v>5</v>
      </c>
      <c r="BW160" s="184">
        <v>5</v>
      </c>
      <c r="BX160" s="144"/>
      <c r="BY160" s="144"/>
      <c r="BZ160" s="208"/>
      <c r="CA160" s="144"/>
      <c r="CB160" s="183">
        <v>5</v>
      </c>
      <c r="CC160" s="208"/>
      <c r="CD160" s="208">
        <v>5</v>
      </c>
      <c r="CE160" s="183">
        <v>15</v>
      </c>
      <c r="CF160" s="208">
        <v>15</v>
      </c>
      <c r="CG160" s="144"/>
      <c r="CH160" s="183">
        <v>5</v>
      </c>
      <c r="CI160" s="144"/>
      <c r="CJ160" s="208">
        <v>5</v>
      </c>
      <c r="CK160" s="208"/>
      <c r="CL160" s="208"/>
      <c r="CM160" s="208"/>
      <c r="CN160" s="144"/>
      <c r="CO160" s="144"/>
      <c r="CP160" s="208"/>
      <c r="CQ160" s="144"/>
      <c r="CR160" s="208"/>
      <c r="CS160" s="144"/>
      <c r="CT160" s="300"/>
    </row>
    <row r="161" spans="1:98" x14ac:dyDescent="0.25">
      <c r="A161" s="45" t="s">
        <v>68</v>
      </c>
      <c r="B161" s="25" t="s">
        <v>269</v>
      </c>
      <c r="C161" s="204">
        <v>12170000000424</v>
      </c>
      <c r="D161" s="66" t="s">
        <v>28</v>
      </c>
      <c r="E161" s="66" t="s">
        <v>29</v>
      </c>
      <c r="F161" s="5" t="s">
        <v>46</v>
      </c>
      <c r="G161" s="72" t="s">
        <v>30</v>
      </c>
      <c r="H161" s="5" t="s">
        <v>213</v>
      </c>
      <c r="I161" s="48" t="s">
        <v>487</v>
      </c>
      <c r="J161" s="48">
        <v>1</v>
      </c>
      <c r="K161" s="89" t="s">
        <v>293</v>
      </c>
      <c r="L161" s="46">
        <v>1</v>
      </c>
      <c r="M161" s="19">
        <v>1</v>
      </c>
      <c r="N161" s="78">
        <v>1</v>
      </c>
      <c r="O161" s="78">
        <v>1</v>
      </c>
      <c r="P161" s="78">
        <v>1</v>
      </c>
      <c r="Q161" s="19">
        <v>1</v>
      </c>
      <c r="R161" s="19">
        <v>1</v>
      </c>
      <c r="S161" s="19">
        <v>1</v>
      </c>
      <c r="T161" s="20">
        <v>1</v>
      </c>
      <c r="U161" s="19"/>
      <c r="V161" s="19"/>
      <c r="X161" s="19">
        <v>1</v>
      </c>
      <c r="Y161" s="19">
        <v>1</v>
      </c>
      <c r="Z161" s="76">
        <v>1</v>
      </c>
      <c r="AA161" s="76">
        <v>1</v>
      </c>
      <c r="AB161" s="19"/>
      <c r="AC161" s="19"/>
      <c r="AD161" s="19">
        <v>1</v>
      </c>
      <c r="AE161" s="19"/>
      <c r="AF161" s="19"/>
      <c r="AG161" s="19"/>
      <c r="AH161" s="19"/>
      <c r="AI161" s="19"/>
      <c r="AJ161" s="19"/>
      <c r="AM161" s="46"/>
      <c r="AQ161" s="19"/>
      <c r="AR161" s="19"/>
      <c r="AS161" s="19"/>
      <c r="AT161" s="19"/>
      <c r="AU161" s="19"/>
      <c r="AV161" s="19"/>
      <c r="AW161" s="19">
        <v>1</v>
      </c>
      <c r="AY161" s="19">
        <v>1</v>
      </c>
      <c r="AZ161" s="20">
        <v>1</v>
      </c>
      <c r="BA161" s="42">
        <v>1</v>
      </c>
      <c r="BB161" s="27">
        <v>1</v>
      </c>
      <c r="BC161" s="27">
        <v>1</v>
      </c>
      <c r="BD161" s="19"/>
      <c r="BE161" s="27">
        <v>1</v>
      </c>
      <c r="BF161" s="27">
        <v>1</v>
      </c>
      <c r="BG161" s="19"/>
      <c r="BH161" s="28">
        <v>1</v>
      </c>
      <c r="BI161" s="27">
        <v>1</v>
      </c>
      <c r="BJ161" s="27">
        <v>1</v>
      </c>
      <c r="BK161" s="20">
        <v>1</v>
      </c>
      <c r="BL161" s="251">
        <v>0.08</v>
      </c>
      <c r="BM161" s="244">
        <f t="shared" si="63"/>
        <v>4.0999999999999996</v>
      </c>
      <c r="BN161" s="244">
        <f t="shared" si="64"/>
        <v>10.1</v>
      </c>
      <c r="BO161" s="244">
        <f t="shared" si="65"/>
        <v>18</v>
      </c>
      <c r="BP161" s="82">
        <v>81</v>
      </c>
      <c r="BQ161" s="159">
        <v>37</v>
      </c>
      <c r="BR161" s="105"/>
      <c r="BS161" s="119">
        <v>8</v>
      </c>
      <c r="BT161" s="119">
        <v>15</v>
      </c>
      <c r="BU161" s="119">
        <v>16</v>
      </c>
      <c r="BV161" s="143"/>
      <c r="BW161" s="182">
        <v>20</v>
      </c>
      <c r="BX161" s="143"/>
      <c r="BY161" s="143"/>
      <c r="BZ161" s="203"/>
      <c r="CA161" s="181">
        <v>5</v>
      </c>
      <c r="CB161" s="181">
        <v>5</v>
      </c>
      <c r="CC161" s="203"/>
      <c r="CD161" s="203">
        <v>10</v>
      </c>
      <c r="CE161" s="181">
        <v>15</v>
      </c>
      <c r="CF161" s="203">
        <v>15</v>
      </c>
      <c r="CG161" s="143"/>
      <c r="CH161" s="143"/>
      <c r="CI161" s="143"/>
      <c r="CJ161" s="203"/>
      <c r="CK161" s="203"/>
      <c r="CL161" s="203"/>
      <c r="CM161" s="203"/>
      <c r="CN161" s="143"/>
      <c r="CO161" s="143"/>
      <c r="CP161" s="203"/>
      <c r="CQ161" s="143"/>
      <c r="CR161" s="203"/>
      <c r="CS161" s="143"/>
      <c r="CT161" s="300"/>
    </row>
    <row r="162" spans="1:98" x14ac:dyDescent="0.25">
      <c r="A162" s="127" t="s">
        <v>68</v>
      </c>
      <c r="B162" s="18" t="s">
        <v>269</v>
      </c>
      <c r="C162" s="203">
        <v>12170000000422</v>
      </c>
      <c r="D162" s="70" t="s">
        <v>28</v>
      </c>
      <c r="E162" s="70" t="s">
        <v>29</v>
      </c>
      <c r="F162" s="1" t="s">
        <v>46</v>
      </c>
      <c r="G162" s="110" t="s">
        <v>31</v>
      </c>
      <c r="H162" s="1" t="s">
        <v>337</v>
      </c>
      <c r="I162" s="46" t="s">
        <v>488</v>
      </c>
      <c r="J162" s="46">
        <v>1</v>
      </c>
      <c r="K162" s="88" t="s">
        <v>293</v>
      </c>
      <c r="L162" s="46"/>
      <c r="M162" s="111"/>
      <c r="N162" s="46"/>
      <c r="O162" s="46"/>
      <c r="P162" s="46"/>
      <c r="Q162" s="111"/>
      <c r="R162" s="111"/>
      <c r="S162" s="111"/>
      <c r="T162" s="112"/>
      <c r="U162" s="111"/>
      <c r="V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M162" s="46"/>
      <c r="AQ162" s="111"/>
      <c r="AR162" s="111"/>
      <c r="AS162" s="111"/>
      <c r="AT162" s="111"/>
      <c r="AU162" s="111"/>
      <c r="AV162" s="111"/>
      <c r="AW162" s="111"/>
      <c r="AY162" s="111"/>
      <c r="AZ162" s="112"/>
      <c r="BA162" s="111"/>
      <c r="BB162" s="111"/>
      <c r="BC162" s="111"/>
      <c r="BD162" s="111">
        <v>1</v>
      </c>
      <c r="BE162" s="111"/>
      <c r="BF162" s="111"/>
      <c r="BG162" s="111">
        <v>1</v>
      </c>
      <c r="BH162" s="116">
        <v>1</v>
      </c>
      <c r="BI162" s="111"/>
      <c r="BJ162" s="111"/>
      <c r="BK162" s="112"/>
      <c r="BL162" s="252">
        <v>0.54</v>
      </c>
      <c r="BM162" s="244">
        <f t="shared" si="63"/>
        <v>4.8</v>
      </c>
      <c r="BN162" s="244">
        <f t="shared" si="64"/>
        <v>10.8</v>
      </c>
      <c r="BO162" s="244">
        <f t="shared" si="65"/>
        <v>19</v>
      </c>
      <c r="BP162" s="82">
        <v>8</v>
      </c>
      <c r="BQ162" s="159">
        <v>11</v>
      </c>
      <c r="BR162" s="105"/>
      <c r="BS162" s="107"/>
      <c r="BT162" s="119" t="s">
        <v>350</v>
      </c>
      <c r="BU162" s="119">
        <v>4</v>
      </c>
      <c r="BV162" s="143"/>
      <c r="BW162" s="182">
        <v>6</v>
      </c>
      <c r="BX162" s="143"/>
      <c r="BY162" s="143"/>
      <c r="BZ162" s="203"/>
      <c r="CA162" s="143"/>
      <c r="CB162" s="143"/>
      <c r="CC162" s="203"/>
      <c r="CD162" s="203"/>
      <c r="CE162" s="143"/>
      <c r="CF162" s="203"/>
      <c r="CG162" s="143"/>
      <c r="CH162" s="143"/>
      <c r="CI162" s="143"/>
      <c r="CJ162" s="203"/>
      <c r="CK162" s="203"/>
      <c r="CL162" s="203"/>
      <c r="CM162" s="203"/>
      <c r="CN162" s="143"/>
      <c r="CO162" s="143"/>
      <c r="CP162" s="203"/>
      <c r="CQ162" s="143"/>
      <c r="CR162" s="203"/>
      <c r="CS162" s="143"/>
      <c r="CT162" s="300"/>
    </row>
    <row r="163" spans="1:98" x14ac:dyDescent="0.25">
      <c r="A163" s="127" t="s">
        <v>68</v>
      </c>
      <c r="B163" s="18" t="s">
        <v>269</v>
      </c>
      <c r="C163" s="203">
        <v>12170000000432</v>
      </c>
      <c r="D163" s="70" t="s">
        <v>28</v>
      </c>
      <c r="E163" s="70" t="s">
        <v>29</v>
      </c>
      <c r="F163" s="1" t="s">
        <v>46</v>
      </c>
      <c r="G163" s="110" t="s">
        <v>37</v>
      </c>
      <c r="H163" s="1" t="s">
        <v>593</v>
      </c>
      <c r="I163" s="46"/>
      <c r="J163" s="46"/>
      <c r="K163" s="88" t="s">
        <v>293</v>
      </c>
      <c r="L163" s="46"/>
      <c r="M163" s="111"/>
      <c r="N163" s="46"/>
      <c r="O163" s="46"/>
      <c r="P163" s="46"/>
      <c r="Q163" s="111"/>
      <c r="R163" s="111"/>
      <c r="S163" s="111"/>
      <c r="T163" s="112"/>
      <c r="U163" s="111">
        <v>1</v>
      </c>
      <c r="V163" s="111">
        <v>1</v>
      </c>
      <c r="W163" s="46">
        <v>1</v>
      </c>
      <c r="X163" s="111"/>
      <c r="Y163" s="111"/>
      <c r="Z163" s="280">
        <v>1</v>
      </c>
      <c r="AA163" s="280">
        <v>1</v>
      </c>
      <c r="AB163" s="280">
        <v>1</v>
      </c>
      <c r="AC163" s="280">
        <v>1</v>
      </c>
      <c r="AD163" s="111"/>
      <c r="AE163" s="111">
        <v>1</v>
      </c>
      <c r="AF163" s="111">
        <v>1</v>
      </c>
      <c r="AG163" s="111">
        <v>1</v>
      </c>
      <c r="AH163" s="111">
        <v>1</v>
      </c>
      <c r="AI163" s="111">
        <v>1</v>
      </c>
      <c r="AJ163" s="46" t="s">
        <v>755</v>
      </c>
      <c r="AK163" s="46">
        <v>1</v>
      </c>
      <c r="AL163" s="46">
        <v>1</v>
      </c>
      <c r="AM163" s="46">
        <v>1</v>
      </c>
      <c r="AN163" s="46">
        <v>1</v>
      </c>
      <c r="AO163" s="46">
        <v>1</v>
      </c>
      <c r="AP163" s="46">
        <v>1</v>
      </c>
      <c r="AQ163" s="111">
        <v>1</v>
      </c>
      <c r="AR163" s="111">
        <v>1</v>
      </c>
      <c r="AS163" s="111">
        <v>1</v>
      </c>
      <c r="AT163" s="111">
        <v>1</v>
      </c>
      <c r="AU163" s="111"/>
      <c r="AV163" s="111"/>
      <c r="AW163" s="111"/>
      <c r="AX163" s="46">
        <v>1</v>
      </c>
      <c r="AY163" s="111"/>
      <c r="AZ163" s="112"/>
      <c r="BA163" s="111"/>
      <c r="BB163" s="111"/>
      <c r="BC163" s="111"/>
      <c r="BD163" s="111"/>
      <c r="BE163" s="111"/>
      <c r="BF163" s="111"/>
      <c r="BG163" s="111"/>
      <c r="BH163" s="112"/>
      <c r="BI163" s="111"/>
      <c r="BJ163" s="111"/>
      <c r="BK163" s="112"/>
      <c r="BL163" s="252">
        <v>0.08</v>
      </c>
      <c r="BM163" s="244">
        <f t="shared" si="63"/>
        <v>4.0999999999999996</v>
      </c>
      <c r="BN163" s="244">
        <f t="shared" si="64"/>
        <v>10.1</v>
      </c>
      <c r="BO163" s="244">
        <f t="shared" si="65"/>
        <v>18</v>
      </c>
      <c r="BP163" s="82">
        <v>0</v>
      </c>
      <c r="BQ163" s="159">
        <v>10</v>
      </c>
      <c r="BR163" s="105"/>
      <c r="BS163" s="107"/>
      <c r="BT163" s="107"/>
      <c r="BU163" s="107"/>
      <c r="BV163" s="143"/>
      <c r="BW163" s="197"/>
      <c r="BX163" s="143"/>
      <c r="BY163" s="143"/>
      <c r="BZ163" s="203"/>
      <c r="CA163" s="143"/>
      <c r="CB163" s="181">
        <v>10</v>
      </c>
      <c r="CC163" s="203"/>
      <c r="CD163" s="203">
        <v>10</v>
      </c>
      <c r="CE163" s="143"/>
      <c r="CF163" s="203"/>
      <c r="CG163" s="143"/>
      <c r="CH163" s="181">
        <v>10</v>
      </c>
      <c r="CI163" s="143"/>
      <c r="CJ163" s="203">
        <v>10</v>
      </c>
      <c r="CK163" s="203"/>
      <c r="CL163" s="203"/>
      <c r="CM163" s="203"/>
      <c r="CN163" s="143"/>
      <c r="CO163" s="143"/>
      <c r="CP163" s="203"/>
      <c r="CQ163" s="143"/>
      <c r="CR163" s="203"/>
      <c r="CS163" s="143"/>
      <c r="CT163" s="300"/>
    </row>
    <row r="164" spans="1:98" x14ac:dyDescent="0.25">
      <c r="A164" s="127" t="s">
        <v>68</v>
      </c>
      <c r="B164" s="18" t="s">
        <v>269</v>
      </c>
      <c r="C164" s="203">
        <v>12170000000425</v>
      </c>
      <c r="D164" s="70" t="s">
        <v>28</v>
      </c>
      <c r="E164" s="70" t="s">
        <v>29</v>
      </c>
      <c r="F164" s="1" t="s">
        <v>46</v>
      </c>
      <c r="G164" s="110" t="s">
        <v>32</v>
      </c>
      <c r="H164" s="1" t="s">
        <v>528</v>
      </c>
      <c r="I164" s="46"/>
      <c r="J164" s="46">
        <v>1</v>
      </c>
      <c r="K164" s="88" t="s">
        <v>293</v>
      </c>
      <c r="L164" s="46"/>
      <c r="M164" s="111"/>
      <c r="N164" s="46"/>
      <c r="O164" s="46"/>
      <c r="P164" s="46"/>
      <c r="Q164" s="111"/>
      <c r="R164" s="111"/>
      <c r="S164" s="111"/>
      <c r="T164" s="112"/>
      <c r="U164" s="111"/>
      <c r="V164" s="111"/>
      <c r="X164" s="111"/>
      <c r="Y164" s="111"/>
      <c r="Z164" s="111"/>
      <c r="AA164" s="111"/>
      <c r="AB164" s="76">
        <v>1</v>
      </c>
      <c r="AC164" s="76">
        <v>1</v>
      </c>
      <c r="AD164" s="111"/>
      <c r="AE164" s="111"/>
      <c r="AF164" s="111"/>
      <c r="AG164" s="111"/>
      <c r="AH164" s="111"/>
      <c r="AI164" s="111"/>
      <c r="AJ164" s="111"/>
      <c r="AM164" s="46"/>
      <c r="AQ164" s="111"/>
      <c r="AR164" s="111"/>
      <c r="AS164" s="111"/>
      <c r="AT164" s="111"/>
      <c r="AU164" s="111"/>
      <c r="AV164" s="111"/>
      <c r="AW164" s="111"/>
      <c r="AY164" s="111"/>
      <c r="AZ164" s="112"/>
      <c r="BA164" s="111"/>
      <c r="BB164" s="111"/>
      <c r="BC164" s="111"/>
      <c r="BD164" s="111"/>
      <c r="BE164" s="111"/>
      <c r="BF164" s="111"/>
      <c r="BG164" s="111"/>
      <c r="BH164" s="112"/>
      <c r="BI164" s="111"/>
      <c r="BJ164" s="111"/>
      <c r="BK164" s="112"/>
      <c r="BL164" s="252">
        <v>0.09</v>
      </c>
      <c r="BM164" s="244">
        <f t="shared" si="63"/>
        <v>4.0999999999999996</v>
      </c>
      <c r="BN164" s="244">
        <f t="shared" si="64"/>
        <v>10.1</v>
      </c>
      <c r="BO164" s="244">
        <f t="shared" si="65"/>
        <v>18</v>
      </c>
      <c r="BP164" s="82">
        <v>6</v>
      </c>
      <c r="BQ164" s="159">
        <v>34</v>
      </c>
      <c r="BR164" s="105"/>
      <c r="BS164" s="107"/>
      <c r="BT164" s="107"/>
      <c r="BU164" s="107"/>
      <c r="BV164" s="143"/>
      <c r="BW164" s="197"/>
      <c r="BX164" s="143"/>
      <c r="BY164" s="181">
        <v>10</v>
      </c>
      <c r="BZ164" s="203">
        <v>10</v>
      </c>
      <c r="CA164" s="143"/>
      <c r="CB164" s="143"/>
      <c r="CC164" s="203"/>
      <c r="CD164" s="203"/>
      <c r="CE164" s="181">
        <v>30</v>
      </c>
      <c r="CF164" s="203">
        <v>30</v>
      </c>
      <c r="CG164" s="143"/>
      <c r="CH164" s="143"/>
      <c r="CI164" s="143"/>
      <c r="CJ164" s="203"/>
      <c r="CK164" s="203"/>
      <c r="CL164" s="203"/>
      <c r="CM164" s="203"/>
      <c r="CN164" s="143"/>
      <c r="CO164" s="143"/>
      <c r="CP164" s="203"/>
      <c r="CQ164" s="143"/>
      <c r="CR164" s="203"/>
      <c r="CS164" s="143"/>
      <c r="CT164" s="300"/>
    </row>
    <row r="165" spans="1:98" x14ac:dyDescent="0.25">
      <c r="A165" s="24" t="s">
        <v>124</v>
      </c>
      <c r="B165" s="18" t="s">
        <v>270</v>
      </c>
      <c r="C165" s="203">
        <v>12170000000204</v>
      </c>
      <c r="D165" s="65" t="s">
        <v>28</v>
      </c>
      <c r="E165" s="65" t="s">
        <v>29</v>
      </c>
      <c r="F165" s="2" t="s">
        <v>53</v>
      </c>
      <c r="G165" s="71" t="s">
        <v>30</v>
      </c>
      <c r="H165" s="2" t="s">
        <v>214</v>
      </c>
      <c r="I165" s="46" t="s">
        <v>489</v>
      </c>
      <c r="J165" s="46">
        <v>1</v>
      </c>
      <c r="K165" s="88" t="s">
        <v>294</v>
      </c>
      <c r="L165" s="46">
        <v>1</v>
      </c>
      <c r="M165" s="19">
        <v>1</v>
      </c>
      <c r="N165" s="78">
        <v>1</v>
      </c>
      <c r="O165" s="78">
        <v>1</v>
      </c>
      <c r="P165" s="78">
        <v>1</v>
      </c>
      <c r="Q165" s="19">
        <v>1</v>
      </c>
      <c r="R165" s="19">
        <v>1</v>
      </c>
      <c r="S165" s="19">
        <v>1</v>
      </c>
      <c r="T165" s="20">
        <v>1</v>
      </c>
      <c r="U165" s="19"/>
      <c r="V165" s="19"/>
      <c r="X165" s="19">
        <v>1</v>
      </c>
      <c r="Y165" s="19">
        <v>1</v>
      </c>
      <c r="Z165" s="19">
        <v>1</v>
      </c>
      <c r="AA165" s="19">
        <v>1</v>
      </c>
      <c r="AB165" s="19"/>
      <c r="AC165" s="19"/>
      <c r="AD165" s="19">
        <v>1</v>
      </c>
      <c r="AE165" s="19"/>
      <c r="AF165" s="19"/>
      <c r="AG165" s="19"/>
      <c r="AH165" s="19"/>
      <c r="AI165" s="19"/>
      <c r="AJ165" s="19" t="s">
        <v>755</v>
      </c>
      <c r="AM165" s="46"/>
      <c r="AQ165" s="19"/>
      <c r="AR165" s="19"/>
      <c r="AS165" s="19">
        <v>1</v>
      </c>
      <c r="AT165" s="19">
        <v>1</v>
      </c>
      <c r="AU165" s="19"/>
      <c r="AV165" s="19"/>
      <c r="AW165" s="19">
        <v>1</v>
      </c>
      <c r="AX165" s="46">
        <v>1</v>
      </c>
      <c r="AY165" s="19">
        <v>1</v>
      </c>
      <c r="AZ165" s="20">
        <v>1</v>
      </c>
      <c r="BA165" s="19">
        <v>0</v>
      </c>
      <c r="BB165" s="19">
        <v>0</v>
      </c>
      <c r="BC165" s="19">
        <v>0</v>
      </c>
      <c r="BD165" s="19"/>
      <c r="BE165" s="19">
        <v>0</v>
      </c>
      <c r="BF165" s="19">
        <v>0</v>
      </c>
      <c r="BG165" s="19"/>
      <c r="BH165" s="20">
        <v>0</v>
      </c>
      <c r="BI165" s="19">
        <v>0</v>
      </c>
      <c r="BJ165" s="19">
        <v>0</v>
      </c>
      <c r="BK165" s="20">
        <v>0</v>
      </c>
      <c r="BL165" s="251">
        <v>0.13</v>
      </c>
      <c r="BM165" s="244">
        <f t="shared" si="63"/>
        <v>4.2</v>
      </c>
      <c r="BN165" s="244">
        <f t="shared" si="64"/>
        <v>10.199999999999999</v>
      </c>
      <c r="BO165" s="244">
        <f t="shared" si="65"/>
        <v>18</v>
      </c>
      <c r="BP165" s="82">
        <v>14</v>
      </c>
      <c r="BQ165" s="159">
        <v>10</v>
      </c>
      <c r="BR165" s="105"/>
      <c r="BS165" s="105"/>
      <c r="BT165" s="137"/>
      <c r="BU165" s="137"/>
      <c r="BV165" s="143"/>
      <c r="BW165" s="182">
        <v>4</v>
      </c>
      <c r="BX165" s="143"/>
      <c r="BY165" s="143"/>
      <c r="BZ165" s="203"/>
      <c r="CA165" s="143"/>
      <c r="CB165" s="143"/>
      <c r="CC165" s="203"/>
      <c r="CD165" s="203"/>
      <c r="CE165" s="143"/>
      <c r="CF165" s="203"/>
      <c r="CG165" s="143"/>
      <c r="CH165" s="143"/>
      <c r="CI165" s="143"/>
      <c r="CJ165" s="203"/>
      <c r="CK165" s="203"/>
      <c r="CL165" s="203"/>
      <c r="CM165" s="203"/>
      <c r="CN165" s="143"/>
      <c r="CO165" s="143"/>
      <c r="CP165" s="203"/>
      <c r="CQ165" s="143"/>
      <c r="CR165" s="203"/>
      <c r="CS165" s="143"/>
      <c r="CT165" s="300"/>
    </row>
    <row r="166" spans="1:98" x14ac:dyDescent="0.25">
      <c r="A166" s="24" t="s">
        <v>124</v>
      </c>
      <c r="B166" s="18" t="s">
        <v>270</v>
      </c>
      <c r="C166" s="203">
        <v>12170000035074</v>
      </c>
      <c r="D166" s="65" t="s">
        <v>28</v>
      </c>
      <c r="E166" s="65" t="s">
        <v>29</v>
      </c>
      <c r="F166" s="2" t="s">
        <v>53</v>
      </c>
      <c r="G166" s="71" t="s">
        <v>37</v>
      </c>
      <c r="H166" s="2" t="s">
        <v>594</v>
      </c>
      <c r="I166" s="46"/>
      <c r="J166" s="46"/>
      <c r="K166" s="88" t="s">
        <v>294</v>
      </c>
      <c r="L166" s="46"/>
      <c r="M166" s="19"/>
      <c r="N166" s="46"/>
      <c r="O166" s="46"/>
      <c r="P166" s="46"/>
      <c r="Q166" s="19"/>
      <c r="R166" s="19"/>
      <c r="S166" s="19"/>
      <c r="T166" s="20"/>
      <c r="U166" s="19">
        <v>1</v>
      </c>
      <c r="V166" s="19">
        <v>1</v>
      </c>
      <c r="W166" s="46">
        <v>1</v>
      </c>
      <c r="X166" s="19"/>
      <c r="Y166" s="19"/>
      <c r="Z166" s="19"/>
      <c r="AA166" s="19"/>
      <c r="AB166" s="19"/>
      <c r="AC166" s="19"/>
      <c r="AD166" s="19"/>
      <c r="AE166" s="19">
        <v>1</v>
      </c>
      <c r="AF166" s="19">
        <v>1</v>
      </c>
      <c r="AG166" s="19">
        <v>1</v>
      </c>
      <c r="AH166" s="19">
        <v>1</v>
      </c>
      <c r="AI166" s="19">
        <v>1</v>
      </c>
      <c r="AJ166" s="272"/>
      <c r="AK166" s="46">
        <v>1</v>
      </c>
      <c r="AL166" s="46">
        <v>1</v>
      </c>
      <c r="AM166" s="46">
        <v>1</v>
      </c>
      <c r="AN166" s="46">
        <v>1</v>
      </c>
      <c r="AO166" s="46">
        <v>1</v>
      </c>
      <c r="AP166" s="46">
        <v>1</v>
      </c>
      <c r="AQ166" s="19">
        <v>1</v>
      </c>
      <c r="AR166" s="19">
        <v>1</v>
      </c>
      <c r="AS166" s="19"/>
      <c r="AT166" s="19"/>
      <c r="AU166" s="19"/>
      <c r="AV166" s="19"/>
      <c r="AW166" s="19"/>
      <c r="AY166" s="19"/>
      <c r="AZ166" s="20"/>
      <c r="BA166" s="19"/>
      <c r="BB166" s="19"/>
      <c r="BC166" s="19"/>
      <c r="BD166" s="19"/>
      <c r="BE166" s="19"/>
      <c r="BF166" s="19"/>
      <c r="BG166" s="19"/>
      <c r="BH166" s="20"/>
      <c r="BI166" s="19"/>
      <c r="BJ166" s="19"/>
      <c r="BK166" s="20"/>
      <c r="BL166" s="252">
        <v>0.11</v>
      </c>
      <c r="BM166" s="244">
        <f t="shared" si="63"/>
        <v>4.2</v>
      </c>
      <c r="BN166" s="244">
        <f t="shared" si="64"/>
        <v>10.199999999999999</v>
      </c>
      <c r="BO166" s="244">
        <f t="shared" si="65"/>
        <v>18</v>
      </c>
      <c r="BP166" s="82">
        <v>0</v>
      </c>
      <c r="BQ166" s="159">
        <v>5</v>
      </c>
      <c r="BR166" s="105"/>
      <c r="BS166" s="105"/>
      <c r="BT166" s="137"/>
      <c r="BU166" s="137"/>
      <c r="BV166" s="143"/>
      <c r="BW166" s="197"/>
      <c r="BX166" s="143"/>
      <c r="BY166" s="143"/>
      <c r="BZ166" s="203"/>
      <c r="CA166" s="143"/>
      <c r="CB166" s="181">
        <v>5</v>
      </c>
      <c r="CC166" s="203"/>
      <c r="CD166" s="203">
        <v>5</v>
      </c>
      <c r="CE166" s="143"/>
      <c r="CF166" s="203"/>
      <c r="CG166" s="143"/>
      <c r="CH166" s="143"/>
      <c r="CI166" s="143"/>
      <c r="CJ166" s="203"/>
      <c r="CK166" s="203"/>
      <c r="CL166" s="203"/>
      <c r="CM166" s="203"/>
      <c r="CN166" s="143"/>
      <c r="CO166" s="143"/>
      <c r="CP166" s="203"/>
      <c r="CQ166" s="143"/>
      <c r="CR166" s="203"/>
      <c r="CS166" s="143"/>
      <c r="CT166" s="300"/>
    </row>
    <row r="167" spans="1:98" x14ac:dyDescent="0.25">
      <c r="A167" s="127" t="s">
        <v>530</v>
      </c>
      <c r="B167" s="18" t="s">
        <v>529</v>
      </c>
      <c r="C167" s="203">
        <v>17470000020639</v>
      </c>
      <c r="D167" s="65" t="s">
        <v>28</v>
      </c>
      <c r="E167" s="65" t="s">
        <v>29</v>
      </c>
      <c r="F167" s="2" t="s">
        <v>53</v>
      </c>
      <c r="G167" s="71" t="s">
        <v>32</v>
      </c>
      <c r="H167" s="2" t="s">
        <v>531</v>
      </c>
      <c r="I167" s="46"/>
      <c r="J167" s="46">
        <v>1</v>
      </c>
      <c r="K167" s="88" t="s">
        <v>282</v>
      </c>
      <c r="L167" s="46"/>
      <c r="M167" s="19"/>
      <c r="N167" s="46"/>
      <c r="O167" s="46"/>
      <c r="P167" s="46"/>
      <c r="Q167" s="19"/>
      <c r="R167" s="19"/>
      <c r="S167" s="19"/>
      <c r="T167" s="20"/>
      <c r="U167" s="19"/>
      <c r="V167" s="19"/>
      <c r="X167" s="19"/>
      <c r="Y167" s="19"/>
      <c r="Z167" s="19"/>
      <c r="AA167" s="19"/>
      <c r="AB167" s="19">
        <v>1</v>
      </c>
      <c r="AC167" s="19">
        <v>1</v>
      </c>
      <c r="AD167" s="19"/>
      <c r="AE167" s="19"/>
      <c r="AF167" s="19"/>
      <c r="AG167" s="19"/>
      <c r="AH167" s="19"/>
      <c r="AI167" s="19"/>
      <c r="AJ167" s="19"/>
      <c r="AM167" s="46"/>
      <c r="AQ167" s="19"/>
      <c r="AR167" s="19"/>
      <c r="AS167" s="19"/>
      <c r="AT167" s="19"/>
      <c r="AU167" s="19"/>
      <c r="AV167" s="19"/>
      <c r="AW167" s="19"/>
      <c r="AY167" s="19"/>
      <c r="AZ167" s="20"/>
      <c r="BA167" s="19"/>
      <c r="BB167" s="19"/>
      <c r="BC167" s="19"/>
      <c r="BD167" s="19"/>
      <c r="BE167" s="19"/>
      <c r="BF167" s="19"/>
      <c r="BG167" s="19"/>
      <c r="BH167" s="20"/>
      <c r="BI167" s="19"/>
      <c r="BJ167" s="19"/>
      <c r="BK167" s="20"/>
      <c r="BL167" s="252">
        <v>3.94</v>
      </c>
      <c r="BM167" s="244">
        <f t="shared" si="63"/>
        <v>9.9</v>
      </c>
      <c r="BN167" s="244">
        <f t="shared" si="64"/>
        <v>15.9</v>
      </c>
      <c r="BO167" s="244">
        <f t="shared" si="65"/>
        <v>28</v>
      </c>
      <c r="BP167" s="82">
        <v>0</v>
      </c>
      <c r="BQ167" s="159">
        <v>10</v>
      </c>
      <c r="BR167" s="107"/>
      <c r="BS167" s="107"/>
      <c r="BT167" s="137"/>
      <c r="BU167" s="137"/>
      <c r="BV167" s="143"/>
      <c r="BW167" s="170"/>
      <c r="BX167" s="143"/>
      <c r="BY167" s="181">
        <v>5</v>
      </c>
      <c r="BZ167" s="203">
        <v>5</v>
      </c>
      <c r="CA167" s="143"/>
      <c r="CB167" s="143"/>
      <c r="CC167" s="203"/>
      <c r="CD167" s="203"/>
      <c r="CE167" s="181">
        <v>5</v>
      </c>
      <c r="CF167" s="203">
        <v>5</v>
      </c>
      <c r="CG167" s="143"/>
      <c r="CH167" s="143"/>
      <c r="CI167" s="143"/>
      <c r="CJ167" s="203"/>
      <c r="CK167" s="203"/>
      <c r="CL167" s="203"/>
      <c r="CM167" s="203"/>
      <c r="CN167" s="143"/>
      <c r="CO167" s="143"/>
      <c r="CP167" s="203"/>
      <c r="CQ167" s="143"/>
      <c r="CR167" s="203"/>
      <c r="CS167" s="143"/>
      <c r="CT167" s="300"/>
    </row>
    <row r="168" spans="1:98" x14ac:dyDescent="0.25">
      <c r="A168" s="127" t="s">
        <v>658</v>
      </c>
      <c r="B168" s="18" t="s">
        <v>659</v>
      </c>
      <c r="C168" s="203">
        <v>12170000013564</v>
      </c>
      <c r="D168" s="65" t="s">
        <v>28</v>
      </c>
      <c r="E168" s="65" t="s">
        <v>29</v>
      </c>
      <c r="F168" s="2" t="s">
        <v>53</v>
      </c>
      <c r="G168" s="71" t="s">
        <v>38</v>
      </c>
      <c r="H168" s="2" t="s">
        <v>660</v>
      </c>
      <c r="I168" s="46"/>
      <c r="J168" s="46"/>
      <c r="K168" s="88" t="s">
        <v>282</v>
      </c>
      <c r="L168" s="46"/>
      <c r="M168" s="19"/>
      <c r="N168" s="46"/>
      <c r="O168" s="46"/>
      <c r="P168" s="46"/>
      <c r="Q168" s="19"/>
      <c r="R168" s="19"/>
      <c r="S168" s="19"/>
      <c r="T168" s="20"/>
      <c r="U168" s="19"/>
      <c r="V168" s="19"/>
      <c r="X168" s="19"/>
      <c r="Y168" s="19"/>
      <c r="Z168" s="19"/>
      <c r="AA168" s="19"/>
      <c r="AB168" s="19">
        <v>1</v>
      </c>
      <c r="AC168" s="19"/>
      <c r="AD168" s="19"/>
      <c r="AE168" s="19"/>
      <c r="AF168" s="19"/>
      <c r="AG168" s="19"/>
      <c r="AH168" s="19"/>
      <c r="AI168" s="19"/>
      <c r="AJ168" s="19"/>
      <c r="AM168" s="46"/>
      <c r="AQ168" s="19"/>
      <c r="AR168" s="19"/>
      <c r="AS168" s="19"/>
      <c r="AT168" s="19"/>
      <c r="AU168" s="19">
        <v>1</v>
      </c>
      <c r="AV168" s="19">
        <v>1</v>
      </c>
      <c r="AW168" s="19"/>
      <c r="AY168" s="19"/>
      <c r="AZ168" s="20"/>
      <c r="BA168" s="19"/>
      <c r="BB168" s="19"/>
      <c r="BC168" s="19"/>
      <c r="BD168" s="19"/>
      <c r="BE168" s="19"/>
      <c r="BF168" s="19"/>
      <c r="BG168" s="19"/>
      <c r="BH168" s="20"/>
      <c r="BI168" s="19"/>
      <c r="BJ168" s="19"/>
      <c r="BK168" s="20"/>
      <c r="BL168" s="252">
        <v>0.09</v>
      </c>
      <c r="BM168" s="244">
        <f t="shared" ref="BM168" si="99">ROUND((BL168*1.5+4)*10,0)/10</f>
        <v>4.0999999999999996</v>
      </c>
      <c r="BN168" s="244">
        <f t="shared" ref="BN168" si="100">ROUND((BL168*1.5+10)*10,0)/10</f>
        <v>10.1</v>
      </c>
      <c r="BO168" s="244">
        <f t="shared" ref="BO168" si="101">ROUND(BN168/0.7*1.22,0)</f>
        <v>18</v>
      </c>
      <c r="BP168" s="82">
        <v>0</v>
      </c>
      <c r="BQ168" s="159">
        <v>5</v>
      </c>
      <c r="BR168" s="107"/>
      <c r="BS168" s="107"/>
      <c r="BT168" s="137"/>
      <c r="BU168" s="137"/>
      <c r="BV168" s="143"/>
      <c r="BW168" s="170"/>
      <c r="BX168" s="143"/>
      <c r="BY168" s="196"/>
      <c r="BZ168" s="203"/>
      <c r="CA168" s="143"/>
      <c r="CB168" s="143"/>
      <c r="CC168" s="203"/>
      <c r="CD168" s="203"/>
      <c r="CE168" s="143"/>
      <c r="CF168" s="203"/>
      <c r="CG168" s="181">
        <v>5</v>
      </c>
      <c r="CH168" s="143"/>
      <c r="CI168" s="143"/>
      <c r="CJ168" s="203"/>
      <c r="CK168" s="203"/>
      <c r="CL168" s="203"/>
      <c r="CM168" s="203"/>
      <c r="CN168" s="143"/>
      <c r="CO168" s="143"/>
      <c r="CP168" s="203"/>
      <c r="CQ168" s="143"/>
      <c r="CR168" s="203"/>
      <c r="CS168" s="143"/>
      <c r="CT168" s="300"/>
    </row>
    <row r="169" spans="1:98" x14ac:dyDescent="0.25">
      <c r="A169" s="51" t="s">
        <v>125</v>
      </c>
      <c r="B169" s="35" t="s">
        <v>270</v>
      </c>
      <c r="C169" s="208">
        <v>12170000000210</v>
      </c>
      <c r="D169" s="67" t="s">
        <v>28</v>
      </c>
      <c r="E169" s="67" t="s">
        <v>29</v>
      </c>
      <c r="F169" s="15" t="s">
        <v>53</v>
      </c>
      <c r="G169" s="73" t="s">
        <v>31</v>
      </c>
      <c r="H169" s="15" t="s">
        <v>215</v>
      </c>
      <c r="I169" s="49" t="s">
        <v>490</v>
      </c>
      <c r="J169" s="49">
        <v>1</v>
      </c>
      <c r="K169" s="90" t="s">
        <v>294</v>
      </c>
      <c r="L169" s="49"/>
      <c r="M169" s="30"/>
      <c r="N169" s="49"/>
      <c r="O169" s="49"/>
      <c r="P169" s="49"/>
      <c r="Q169" s="30"/>
      <c r="R169" s="30"/>
      <c r="S169" s="30"/>
      <c r="T169" s="31"/>
      <c r="U169" s="30"/>
      <c r="V169" s="30"/>
      <c r="W169" s="274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274"/>
      <c r="AL169" s="274"/>
      <c r="AM169" s="49"/>
      <c r="AN169" s="274"/>
      <c r="AO169" s="274"/>
      <c r="AP169" s="274"/>
      <c r="AQ169" s="30"/>
      <c r="AR169" s="30"/>
      <c r="AS169" s="30"/>
      <c r="AT169" s="30"/>
      <c r="AU169" s="30"/>
      <c r="AV169" s="30"/>
      <c r="AW169" s="30"/>
      <c r="AX169" s="274"/>
      <c r="AY169" s="30"/>
      <c r="AZ169" s="31"/>
      <c r="BA169" s="43">
        <v>1</v>
      </c>
      <c r="BB169" s="39">
        <v>1</v>
      </c>
      <c r="BC169" s="39">
        <v>1</v>
      </c>
      <c r="BD169" s="30">
        <v>1</v>
      </c>
      <c r="BE169" s="39">
        <v>1</v>
      </c>
      <c r="BF169" s="39">
        <v>1</v>
      </c>
      <c r="BG169" s="30">
        <v>1</v>
      </c>
      <c r="BH169" s="40">
        <v>1</v>
      </c>
      <c r="BI169" s="39">
        <v>1</v>
      </c>
      <c r="BJ169" s="39">
        <v>1</v>
      </c>
      <c r="BK169" s="40">
        <v>1</v>
      </c>
      <c r="BL169" s="254">
        <v>0.09</v>
      </c>
      <c r="BM169" s="244">
        <f t="shared" si="63"/>
        <v>4.0999999999999996</v>
      </c>
      <c r="BN169" s="244">
        <f t="shared" si="64"/>
        <v>10.1</v>
      </c>
      <c r="BO169" s="244">
        <f t="shared" si="65"/>
        <v>18</v>
      </c>
      <c r="BP169" s="82">
        <v>2</v>
      </c>
      <c r="BQ169" s="159">
        <v>9</v>
      </c>
      <c r="BR169" s="108"/>
      <c r="BS169" s="108"/>
      <c r="BT169" s="138"/>
      <c r="BU169" s="138"/>
      <c r="BV169" s="144"/>
      <c r="BW169" s="184">
        <v>5</v>
      </c>
      <c r="BX169" s="144"/>
      <c r="BY169" s="144"/>
      <c r="BZ169" s="208"/>
      <c r="CA169" s="144"/>
      <c r="CB169" s="144"/>
      <c r="CC169" s="208"/>
      <c r="CD169" s="208"/>
      <c r="CE169" s="144"/>
      <c r="CF169" s="208"/>
      <c r="CG169" s="144"/>
      <c r="CH169" s="144"/>
      <c r="CI169" s="144"/>
      <c r="CJ169" s="208"/>
      <c r="CK169" s="208"/>
      <c r="CL169" s="208"/>
      <c r="CM169" s="208"/>
      <c r="CN169" s="144"/>
      <c r="CO169" s="144"/>
      <c r="CP169" s="208"/>
      <c r="CQ169" s="144"/>
      <c r="CR169" s="208"/>
      <c r="CS169" s="144"/>
      <c r="CT169" s="300"/>
    </row>
    <row r="170" spans="1:98" x14ac:dyDescent="0.25">
      <c r="A170" s="24" t="s">
        <v>575</v>
      </c>
      <c r="B170" s="18" t="s">
        <v>607</v>
      </c>
      <c r="C170" s="203" t="s">
        <v>574</v>
      </c>
      <c r="D170" s="65" t="s">
        <v>28</v>
      </c>
      <c r="E170" s="65" t="s">
        <v>29</v>
      </c>
      <c r="F170" s="2" t="s">
        <v>576</v>
      </c>
      <c r="G170" s="71" t="s">
        <v>30</v>
      </c>
      <c r="H170" s="247" t="s">
        <v>577</v>
      </c>
      <c r="I170" s="46"/>
      <c r="J170" s="46"/>
      <c r="L170" s="46"/>
      <c r="M170" s="19"/>
      <c r="N170" s="46"/>
      <c r="O170" s="46"/>
      <c r="P170" s="46"/>
      <c r="Q170" s="19"/>
      <c r="R170" s="19"/>
      <c r="S170" s="19"/>
      <c r="T170" s="20"/>
      <c r="U170" s="19"/>
      <c r="V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M170" s="46"/>
      <c r="AQ170" s="19"/>
      <c r="AR170" s="19"/>
      <c r="AS170" s="19"/>
      <c r="AT170" s="19"/>
      <c r="AU170" s="19"/>
      <c r="AV170" s="19"/>
      <c r="AW170" s="19"/>
      <c r="AY170" s="19"/>
      <c r="AZ170" s="20"/>
      <c r="BA170" s="19"/>
      <c r="BB170" s="19"/>
      <c r="BC170" s="19"/>
      <c r="BD170" s="19"/>
      <c r="BE170" s="19"/>
      <c r="BF170" s="19"/>
      <c r="BG170" s="19">
        <v>1</v>
      </c>
      <c r="BH170" s="20"/>
      <c r="BI170" s="19"/>
      <c r="BJ170" s="19"/>
      <c r="BK170" s="20"/>
      <c r="BL170" s="251">
        <v>2.25</v>
      </c>
      <c r="BM170" s="244">
        <f t="shared" si="63"/>
        <v>7.4</v>
      </c>
      <c r="BN170" s="244">
        <f t="shared" si="64"/>
        <v>13.4</v>
      </c>
      <c r="BO170" s="244">
        <f t="shared" si="65"/>
        <v>23</v>
      </c>
      <c r="BP170" s="82">
        <v>5</v>
      </c>
      <c r="BQ170" s="159">
        <v>0</v>
      </c>
      <c r="BR170" s="143"/>
      <c r="BS170" s="143"/>
      <c r="BT170" s="159"/>
      <c r="BU170" s="159"/>
      <c r="BV170" s="237"/>
      <c r="BW170" s="238"/>
      <c r="BX170" s="153"/>
      <c r="BY170" s="153"/>
      <c r="BZ170" s="204"/>
      <c r="CA170" s="153"/>
      <c r="CB170" s="270">
        <v>5</v>
      </c>
      <c r="CC170" s="245">
        <v>5</v>
      </c>
      <c r="CD170" s="245"/>
      <c r="CE170" s="241"/>
      <c r="CF170" s="245"/>
      <c r="CG170" s="241"/>
      <c r="CH170" s="241"/>
      <c r="CI170" s="241"/>
      <c r="CJ170" s="245"/>
      <c r="CK170" s="245"/>
      <c r="CL170" s="245"/>
      <c r="CM170" s="245"/>
      <c r="CN170" s="241"/>
      <c r="CO170" s="241"/>
      <c r="CP170" s="245"/>
      <c r="CQ170" s="241"/>
      <c r="CR170" s="245"/>
      <c r="CS170" s="241"/>
      <c r="CT170" s="300"/>
    </row>
    <row r="171" spans="1:98" x14ac:dyDescent="0.25">
      <c r="A171" s="24" t="s">
        <v>575</v>
      </c>
      <c r="B171" s="18" t="s">
        <v>608</v>
      </c>
      <c r="C171" s="203" t="s">
        <v>615</v>
      </c>
      <c r="D171" s="65" t="s">
        <v>28</v>
      </c>
      <c r="E171" s="65" t="s">
        <v>29</v>
      </c>
      <c r="F171" s="2" t="s">
        <v>576</v>
      </c>
      <c r="G171" s="71" t="s">
        <v>31</v>
      </c>
      <c r="H171" s="3" t="s">
        <v>604</v>
      </c>
      <c r="I171" s="46"/>
      <c r="J171" s="46"/>
      <c r="L171" s="46"/>
      <c r="M171" s="19"/>
      <c r="N171" s="46"/>
      <c r="O171" s="46"/>
      <c r="P171" s="46"/>
      <c r="Q171" s="19"/>
      <c r="R171" s="19"/>
      <c r="S171" s="19"/>
      <c r="T171" s="20"/>
      <c r="U171" s="19"/>
      <c r="V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M171" s="46"/>
      <c r="AQ171" s="19"/>
      <c r="AR171" s="19"/>
      <c r="AS171" s="19"/>
      <c r="AT171" s="19"/>
      <c r="AU171" s="19"/>
      <c r="AV171" s="19"/>
      <c r="AW171" s="19"/>
      <c r="AY171" s="19"/>
      <c r="AZ171" s="20"/>
      <c r="BA171" s="19"/>
      <c r="BB171" s="19"/>
      <c r="BC171" s="19"/>
      <c r="BD171" s="19">
        <v>1</v>
      </c>
      <c r="BE171" s="19"/>
      <c r="BF171" s="19"/>
      <c r="BG171" s="19"/>
      <c r="BH171" s="20"/>
      <c r="BI171" s="19"/>
      <c r="BJ171" s="19"/>
      <c r="BK171" s="20"/>
      <c r="BL171" s="251">
        <v>2.25</v>
      </c>
      <c r="BM171" s="244">
        <f t="shared" ref="BM171:BM182" si="102">ROUND((BL171*1.5+4)*10,0)/10</f>
        <v>7.4</v>
      </c>
      <c r="BN171" s="244">
        <f t="shared" ref="BN171:BN182" si="103">ROUND((BL171*1.5+10)*10,0)/10</f>
        <v>13.4</v>
      </c>
      <c r="BO171" s="244">
        <f t="shared" ref="BO171:BO182" si="104">ROUND(BN171/0.7*1.22,0)</f>
        <v>23</v>
      </c>
      <c r="BP171" s="82">
        <v>0</v>
      </c>
      <c r="BQ171" s="159">
        <v>5</v>
      </c>
      <c r="BR171" s="143"/>
      <c r="BS171" s="143"/>
      <c r="BT171" s="159"/>
      <c r="BU171" s="159"/>
      <c r="BV171" s="239"/>
      <c r="BW171" s="197"/>
      <c r="BX171" s="143"/>
      <c r="BY171" s="143"/>
      <c r="BZ171" s="203"/>
      <c r="CA171" s="143"/>
      <c r="CB171" s="264">
        <v>5</v>
      </c>
      <c r="CC171" s="203"/>
      <c r="CD171" s="203">
        <v>5</v>
      </c>
      <c r="CE171" s="143"/>
      <c r="CF171" s="203"/>
      <c r="CG171" s="143"/>
      <c r="CH171" s="143"/>
      <c r="CI171" s="143"/>
      <c r="CJ171" s="203"/>
      <c r="CK171" s="203"/>
      <c r="CL171" s="203"/>
      <c r="CM171" s="203"/>
      <c r="CN171" s="143"/>
      <c r="CO171" s="143"/>
      <c r="CP171" s="203"/>
      <c r="CQ171" s="143"/>
      <c r="CR171" s="203"/>
      <c r="CS171" s="143"/>
      <c r="CT171" s="300"/>
    </row>
    <row r="172" spans="1:98" x14ac:dyDescent="0.25">
      <c r="A172" s="24" t="s">
        <v>575</v>
      </c>
      <c r="B172" s="18" t="s">
        <v>609</v>
      </c>
      <c r="C172" s="240" t="s">
        <v>85</v>
      </c>
      <c r="D172" s="65" t="s">
        <v>28</v>
      </c>
      <c r="E172" s="65" t="s">
        <v>29</v>
      </c>
      <c r="F172" s="2" t="s">
        <v>576</v>
      </c>
      <c r="G172" s="71" t="s">
        <v>32</v>
      </c>
      <c r="H172" s="3" t="s">
        <v>605</v>
      </c>
      <c r="I172" s="46"/>
      <c r="J172" s="46"/>
      <c r="L172" s="46"/>
      <c r="M172" s="19"/>
      <c r="N172" s="46"/>
      <c r="O172" s="46"/>
      <c r="P172" s="46"/>
      <c r="Q172" s="19"/>
      <c r="R172" s="19"/>
      <c r="S172" s="19"/>
      <c r="T172" s="20"/>
      <c r="U172" s="19"/>
      <c r="V172" s="19"/>
      <c r="X172" s="19"/>
      <c r="Y172" s="19"/>
      <c r="Z172" s="19"/>
      <c r="AA172" s="19"/>
      <c r="AB172" s="19"/>
      <c r="AC172" s="19"/>
      <c r="AD172" s="19"/>
      <c r="AE172" s="19">
        <v>1</v>
      </c>
      <c r="AF172" s="19"/>
      <c r="AG172" s="19"/>
      <c r="AH172" s="19"/>
      <c r="AI172" s="19"/>
      <c r="AJ172" s="19"/>
      <c r="AM172" s="46"/>
      <c r="AQ172" s="19"/>
      <c r="AR172" s="19"/>
      <c r="AS172" s="19"/>
      <c r="AT172" s="19"/>
      <c r="AU172" s="19"/>
      <c r="AV172" s="19"/>
      <c r="AW172" s="19"/>
      <c r="AY172" s="19"/>
      <c r="AZ172" s="20"/>
      <c r="BA172" s="19"/>
      <c r="BB172" s="19"/>
      <c r="BC172" s="19"/>
      <c r="BD172" s="19"/>
      <c r="BE172" s="19"/>
      <c r="BF172" s="19"/>
      <c r="BG172" s="19"/>
      <c r="BH172" s="20"/>
      <c r="BI172" s="19"/>
      <c r="BJ172" s="19"/>
      <c r="BK172" s="20"/>
      <c r="BL172" s="251">
        <v>2.25</v>
      </c>
      <c r="BM172" s="244">
        <f t="shared" si="102"/>
        <v>7.4</v>
      </c>
      <c r="BN172" s="244">
        <f t="shared" si="103"/>
        <v>13.4</v>
      </c>
      <c r="BO172" s="244">
        <f t="shared" si="104"/>
        <v>23</v>
      </c>
      <c r="BP172" s="82">
        <v>0</v>
      </c>
      <c r="BQ172" s="159">
        <v>0</v>
      </c>
      <c r="BR172" s="143"/>
      <c r="BS172" s="143"/>
      <c r="BT172" s="159"/>
      <c r="BU172" s="159"/>
      <c r="BV172" s="239"/>
      <c r="BW172" s="197"/>
      <c r="BX172" s="143"/>
      <c r="BY172" s="143"/>
      <c r="BZ172" s="203"/>
      <c r="CA172" s="143"/>
      <c r="CB172" s="264">
        <v>20</v>
      </c>
      <c r="CC172" s="203">
        <v>20</v>
      </c>
      <c r="CD172" s="203"/>
      <c r="CE172" s="143"/>
      <c r="CF172" s="203"/>
      <c r="CG172" s="143"/>
      <c r="CH172" s="143"/>
      <c r="CI172" s="143"/>
      <c r="CJ172" s="203"/>
      <c r="CK172" s="203"/>
      <c r="CL172" s="203"/>
      <c r="CM172" s="203"/>
      <c r="CN172" s="143"/>
      <c r="CO172" s="143"/>
      <c r="CP172" s="203"/>
      <c r="CQ172" s="143"/>
      <c r="CR172" s="203"/>
      <c r="CS172" s="143"/>
      <c r="CT172" s="300"/>
    </row>
    <row r="173" spans="1:98" x14ac:dyDescent="0.25">
      <c r="A173" s="24" t="s">
        <v>575</v>
      </c>
      <c r="B173" s="18" t="s">
        <v>621</v>
      </c>
      <c r="C173" s="203" t="s">
        <v>625</v>
      </c>
      <c r="D173" s="65" t="s">
        <v>28</v>
      </c>
      <c r="E173" s="65" t="s">
        <v>29</v>
      </c>
      <c r="F173" s="2" t="s">
        <v>576</v>
      </c>
      <c r="G173" s="168" t="s">
        <v>39</v>
      </c>
      <c r="H173" s="3" t="s">
        <v>623</v>
      </c>
      <c r="I173" s="46"/>
      <c r="J173" s="46"/>
      <c r="L173" s="46"/>
      <c r="M173" s="19"/>
      <c r="N173" s="46"/>
      <c r="O173" s="46"/>
      <c r="P173" s="46"/>
      <c r="Q173" s="19"/>
      <c r="R173" s="19"/>
      <c r="S173" s="19"/>
      <c r="T173" s="20"/>
      <c r="U173" s="19"/>
      <c r="V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M173" s="46"/>
      <c r="AQ173" s="19"/>
      <c r="AR173" s="19"/>
      <c r="AS173" s="19">
        <v>1</v>
      </c>
      <c r="AT173" s="19"/>
      <c r="AU173" s="19"/>
      <c r="AV173" s="19"/>
      <c r="AW173" s="19"/>
      <c r="AY173" s="19"/>
      <c r="AZ173" s="20"/>
      <c r="BA173" s="19"/>
      <c r="BB173" s="19"/>
      <c r="BC173" s="19"/>
      <c r="BD173" s="19"/>
      <c r="BE173" s="19"/>
      <c r="BF173" s="19"/>
      <c r="BG173" s="19"/>
      <c r="BH173" s="20"/>
      <c r="BI173" s="19"/>
      <c r="BJ173" s="19"/>
      <c r="BK173" s="20"/>
      <c r="BL173" s="252">
        <v>1.75</v>
      </c>
      <c r="BM173" s="244">
        <f t="shared" ref="BM173:BM174" si="105">ROUND((BL173*1.5+4)*10,0)/10</f>
        <v>6.6</v>
      </c>
      <c r="BN173" s="244">
        <f t="shared" ref="BN173:BN174" si="106">ROUND((BL173*1.5+10)*10,0)/10</f>
        <v>12.6</v>
      </c>
      <c r="BO173" s="244">
        <f t="shared" ref="BO173:BO174" si="107">ROUND(BN173/0.7*1.22,0)</f>
        <v>22</v>
      </c>
      <c r="BP173" s="82">
        <v>0</v>
      </c>
      <c r="BQ173" s="159">
        <v>10</v>
      </c>
      <c r="BR173" s="143"/>
      <c r="BS173" s="143"/>
      <c r="BT173" s="159"/>
      <c r="BU173" s="159"/>
      <c r="BV173" s="143"/>
      <c r="BW173" s="197"/>
      <c r="BX173" s="143"/>
      <c r="BY173" s="143"/>
      <c r="BZ173" s="203"/>
      <c r="CA173" s="143"/>
      <c r="CB173" s="143"/>
      <c r="CC173" s="203"/>
      <c r="CD173" s="203"/>
      <c r="CE173" s="143"/>
      <c r="CF173" s="203"/>
      <c r="CG173" s="181">
        <v>10</v>
      </c>
      <c r="CH173" s="143"/>
      <c r="CI173" s="143"/>
      <c r="CJ173" s="203"/>
      <c r="CK173" s="203"/>
      <c r="CL173" s="203"/>
      <c r="CM173" s="203"/>
      <c r="CN173" s="143"/>
      <c r="CO173" s="143"/>
      <c r="CP173" s="203"/>
      <c r="CQ173" s="143"/>
      <c r="CR173" s="203"/>
      <c r="CS173" s="143"/>
      <c r="CT173" s="300"/>
    </row>
    <row r="174" spans="1:98" x14ac:dyDescent="0.25">
      <c r="A174" s="24" t="s">
        <v>575</v>
      </c>
      <c r="B174" s="18" t="s">
        <v>622</v>
      </c>
      <c r="C174" s="203" t="s">
        <v>626</v>
      </c>
      <c r="D174" s="65" t="s">
        <v>28</v>
      </c>
      <c r="E174" s="65" t="s">
        <v>29</v>
      </c>
      <c r="F174" s="2" t="s">
        <v>576</v>
      </c>
      <c r="G174" s="168" t="s">
        <v>40</v>
      </c>
      <c r="H174" s="3" t="s">
        <v>624</v>
      </c>
      <c r="I174" s="46"/>
      <c r="J174" s="46"/>
      <c r="L174" s="46"/>
      <c r="M174" s="19"/>
      <c r="N174" s="46"/>
      <c r="O174" s="46"/>
      <c r="P174" s="46"/>
      <c r="Q174" s="19"/>
      <c r="R174" s="19"/>
      <c r="S174" s="19"/>
      <c r="T174" s="20"/>
      <c r="U174" s="19"/>
      <c r="V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M174" s="46"/>
      <c r="AQ174" s="19"/>
      <c r="AR174" s="19"/>
      <c r="AS174" s="19"/>
      <c r="AT174" s="19">
        <v>1</v>
      </c>
      <c r="AU174" s="19"/>
      <c r="AV174" s="19"/>
      <c r="AW174" s="19"/>
      <c r="AY174" s="19"/>
      <c r="AZ174" s="20"/>
      <c r="BA174" s="19"/>
      <c r="BB174" s="19"/>
      <c r="BC174" s="19"/>
      <c r="BD174" s="19"/>
      <c r="BE174" s="19"/>
      <c r="BF174" s="19"/>
      <c r="BG174" s="19"/>
      <c r="BH174" s="20"/>
      <c r="BI174" s="19"/>
      <c r="BJ174" s="19"/>
      <c r="BK174" s="20"/>
      <c r="BL174" s="252">
        <v>1.75</v>
      </c>
      <c r="BM174" s="244">
        <f t="shared" si="105"/>
        <v>6.6</v>
      </c>
      <c r="BN174" s="244">
        <f t="shared" si="106"/>
        <v>12.6</v>
      </c>
      <c r="BO174" s="244">
        <f t="shared" si="107"/>
        <v>22</v>
      </c>
      <c r="BP174" s="82">
        <v>0</v>
      </c>
      <c r="BQ174" s="159">
        <v>10</v>
      </c>
      <c r="BR174" s="143"/>
      <c r="BS174" s="143"/>
      <c r="BT174" s="159"/>
      <c r="BU174" s="159"/>
      <c r="BV174" s="143"/>
      <c r="BW174" s="197"/>
      <c r="BX174" s="143"/>
      <c r="BY174" s="143"/>
      <c r="BZ174" s="203"/>
      <c r="CA174" s="143"/>
      <c r="CB174" s="143"/>
      <c r="CC174" s="203"/>
      <c r="CD174" s="203"/>
      <c r="CE174" s="143"/>
      <c r="CF174" s="203"/>
      <c r="CG174" s="181">
        <v>10</v>
      </c>
      <c r="CH174" s="143"/>
      <c r="CI174" s="143"/>
      <c r="CJ174" s="203"/>
      <c r="CK174" s="203"/>
      <c r="CL174" s="203"/>
      <c r="CM174" s="203"/>
      <c r="CN174" s="143"/>
      <c r="CO174" s="143"/>
      <c r="CP174" s="203"/>
      <c r="CQ174" s="143"/>
      <c r="CR174" s="203"/>
      <c r="CS174" s="143"/>
      <c r="CT174" s="300"/>
    </row>
    <row r="175" spans="1:98" x14ac:dyDescent="0.25">
      <c r="A175" s="24" t="s">
        <v>575</v>
      </c>
      <c r="B175" s="18" t="s">
        <v>645</v>
      </c>
      <c r="C175" s="203" t="s">
        <v>643</v>
      </c>
      <c r="D175" s="65" t="s">
        <v>28</v>
      </c>
      <c r="E175" s="65" t="s">
        <v>29</v>
      </c>
      <c r="F175" s="2" t="s">
        <v>576</v>
      </c>
      <c r="G175" s="168" t="s">
        <v>41</v>
      </c>
      <c r="H175" s="3" t="s">
        <v>644</v>
      </c>
      <c r="I175" s="46"/>
      <c r="J175" s="46"/>
      <c r="L175" s="46"/>
      <c r="M175" s="19"/>
      <c r="N175" s="46"/>
      <c r="O175" s="46"/>
      <c r="P175" s="46"/>
      <c r="Q175" s="19"/>
      <c r="R175" s="19"/>
      <c r="S175" s="19"/>
      <c r="T175" s="20"/>
      <c r="U175" s="19"/>
      <c r="V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M175" s="46"/>
      <c r="AQ175" s="19"/>
      <c r="AR175" s="19"/>
      <c r="AS175" s="19"/>
      <c r="AT175" s="19"/>
      <c r="AU175" s="19">
        <v>1</v>
      </c>
      <c r="AV175" s="19"/>
      <c r="AW175" s="19"/>
      <c r="AY175" s="19"/>
      <c r="AZ175" s="20"/>
      <c r="BA175" s="19"/>
      <c r="BB175" s="19"/>
      <c r="BC175" s="19"/>
      <c r="BD175" s="19"/>
      <c r="BE175" s="19"/>
      <c r="BF175" s="19"/>
      <c r="BG175" s="19"/>
      <c r="BH175" s="20"/>
      <c r="BI175" s="19"/>
      <c r="BJ175" s="19"/>
      <c r="BK175" s="20"/>
      <c r="BL175" s="252">
        <v>2.37</v>
      </c>
      <c r="BM175" s="244">
        <f t="shared" ref="BM175" si="108">ROUND((BL175*1.5+4)*10,0)/10</f>
        <v>7.6</v>
      </c>
      <c r="BN175" s="244">
        <f t="shared" ref="BN175" si="109">ROUND((BL175*1.5+10)*10,0)/10</f>
        <v>13.6</v>
      </c>
      <c r="BO175" s="244">
        <f t="shared" ref="BO175" si="110">ROUND(BN175/0.7*1.22,0)</f>
        <v>24</v>
      </c>
      <c r="BP175" s="82">
        <v>0</v>
      </c>
      <c r="BQ175" s="159">
        <v>10</v>
      </c>
      <c r="BR175" s="143"/>
      <c r="BS175" s="143"/>
      <c r="BT175" s="159"/>
      <c r="BU175" s="159"/>
      <c r="BV175" s="143"/>
      <c r="BW175" s="197"/>
      <c r="BX175" s="143"/>
      <c r="BY175" s="143"/>
      <c r="BZ175" s="203"/>
      <c r="CA175" s="143"/>
      <c r="CB175" s="143"/>
      <c r="CC175" s="203"/>
      <c r="CD175" s="203"/>
      <c r="CE175" s="143"/>
      <c r="CF175" s="203"/>
      <c r="CG175" s="181">
        <v>10</v>
      </c>
      <c r="CH175" s="143"/>
      <c r="CI175" s="143"/>
      <c r="CJ175" s="203"/>
      <c r="CK175" s="203"/>
      <c r="CL175" s="203"/>
      <c r="CM175" s="203"/>
      <c r="CN175" s="143"/>
      <c r="CO175" s="143"/>
      <c r="CP175" s="203"/>
      <c r="CQ175" s="143"/>
      <c r="CR175" s="203"/>
      <c r="CS175" s="143"/>
      <c r="CT175" s="300"/>
    </row>
    <row r="176" spans="1:98" x14ac:dyDescent="0.25">
      <c r="A176" s="24" t="s">
        <v>575</v>
      </c>
      <c r="B176" s="18" t="s">
        <v>676</v>
      </c>
      <c r="C176" s="240" t="s">
        <v>85</v>
      </c>
      <c r="D176" s="65" t="s">
        <v>28</v>
      </c>
      <c r="E176" s="65" t="s">
        <v>29</v>
      </c>
      <c r="F176" s="2" t="s">
        <v>576</v>
      </c>
      <c r="G176" s="168" t="s">
        <v>42</v>
      </c>
      <c r="H176" s="260" t="s">
        <v>677</v>
      </c>
      <c r="I176" s="46"/>
      <c r="J176" s="46"/>
      <c r="L176" s="46"/>
      <c r="M176" s="19"/>
      <c r="N176" s="46"/>
      <c r="O176" s="46"/>
      <c r="P176" s="46"/>
      <c r="Q176" s="19"/>
      <c r="R176" s="19"/>
      <c r="S176" s="19"/>
      <c r="T176" s="20"/>
      <c r="U176" s="19"/>
      <c r="V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>
        <v>1</v>
      </c>
      <c r="AH176" s="19"/>
      <c r="AI176" s="19"/>
      <c r="AJ176" s="19"/>
      <c r="AM176" s="46"/>
      <c r="AQ176" s="19"/>
      <c r="AR176" s="19"/>
      <c r="AS176" s="19"/>
      <c r="AT176" s="19"/>
      <c r="AU176" s="19"/>
      <c r="AV176" s="19"/>
      <c r="AW176" s="19"/>
      <c r="AY176" s="19"/>
      <c r="AZ176" s="20"/>
      <c r="BA176" s="19"/>
      <c r="BB176" s="19"/>
      <c r="BC176" s="19"/>
      <c r="BD176" s="19"/>
      <c r="BE176" s="19"/>
      <c r="BF176" s="19"/>
      <c r="BG176" s="19"/>
      <c r="BH176" s="20"/>
      <c r="BI176" s="19"/>
      <c r="BJ176" s="19"/>
      <c r="BK176" s="20"/>
      <c r="BL176" s="257">
        <v>2.37</v>
      </c>
      <c r="BM176" s="244">
        <f t="shared" ref="BM176:BM181" si="111">ROUND((BL176*1.5+4)*10,0)/10</f>
        <v>7.6</v>
      </c>
      <c r="BN176" s="244">
        <f t="shared" ref="BN176:BN181" si="112">ROUND((BL176*1.5+10)*10,0)/10</f>
        <v>13.6</v>
      </c>
      <c r="BO176" s="244">
        <f t="shared" ref="BO176:BO181" si="113">ROUND(BN176/0.7*1.22,0)</f>
        <v>24</v>
      </c>
      <c r="BP176" s="82"/>
      <c r="BQ176" s="159"/>
      <c r="BR176" s="143"/>
      <c r="BS176" s="143"/>
      <c r="BT176" s="159"/>
      <c r="BU176" s="159"/>
      <c r="BV176" s="143"/>
      <c r="BW176" s="197"/>
      <c r="BX176" s="143"/>
      <c r="BY176" s="143"/>
      <c r="BZ176" s="203"/>
      <c r="CA176" s="143"/>
      <c r="CB176" s="143"/>
      <c r="CC176" s="203"/>
      <c r="CD176" s="203"/>
      <c r="CE176" s="143"/>
      <c r="CF176" s="203"/>
      <c r="CG176" s="196"/>
      <c r="CH176" s="143"/>
      <c r="CI176" s="143"/>
      <c r="CJ176" s="203"/>
      <c r="CK176" s="203"/>
      <c r="CL176" s="203"/>
      <c r="CM176" s="203"/>
      <c r="CN176" s="143"/>
      <c r="CO176" s="143"/>
      <c r="CP176" s="203"/>
      <c r="CQ176" s="143"/>
      <c r="CR176" s="203"/>
      <c r="CS176" s="143"/>
      <c r="CT176" s="300"/>
    </row>
    <row r="177" spans="1:98" x14ac:dyDescent="0.25">
      <c r="A177" s="24" t="s">
        <v>575</v>
      </c>
      <c r="B177" s="18" t="s">
        <v>679</v>
      </c>
      <c r="C177" s="240" t="s">
        <v>85</v>
      </c>
      <c r="D177" s="65" t="s">
        <v>28</v>
      </c>
      <c r="E177" s="65" t="s">
        <v>29</v>
      </c>
      <c r="F177" s="2" t="s">
        <v>576</v>
      </c>
      <c r="G177" s="168" t="s">
        <v>43</v>
      </c>
      <c r="H177" s="305" t="s">
        <v>678</v>
      </c>
      <c r="I177" s="46"/>
      <c r="J177" s="46"/>
      <c r="L177" s="46"/>
      <c r="M177" s="19"/>
      <c r="N177" s="46"/>
      <c r="O177" s="46"/>
      <c r="P177" s="46"/>
      <c r="Q177" s="19"/>
      <c r="R177" s="19"/>
      <c r="S177" s="19"/>
      <c r="T177" s="20"/>
      <c r="U177" s="19"/>
      <c r="V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>
        <v>1</v>
      </c>
      <c r="AI177" s="19"/>
      <c r="AJ177" s="19"/>
      <c r="AM177" s="46"/>
      <c r="AQ177" s="19"/>
      <c r="AR177" s="19"/>
      <c r="AS177" s="19"/>
      <c r="AT177" s="19"/>
      <c r="AU177" s="19"/>
      <c r="AV177" s="19"/>
      <c r="AW177" s="19"/>
      <c r="AY177" s="19"/>
      <c r="AZ177" s="20"/>
      <c r="BA177" s="19"/>
      <c r="BB177" s="19"/>
      <c r="BC177" s="19"/>
      <c r="BD177" s="19"/>
      <c r="BE177" s="19"/>
      <c r="BF177" s="19"/>
      <c r="BG177" s="19"/>
      <c r="BH177" s="20"/>
      <c r="BI177" s="19"/>
      <c r="BJ177" s="19"/>
      <c r="BK177" s="20"/>
      <c r="BL177" s="257">
        <v>2.37</v>
      </c>
      <c r="BM177" s="244">
        <f t="shared" si="111"/>
        <v>7.6</v>
      </c>
      <c r="BN177" s="244">
        <f t="shared" si="112"/>
        <v>13.6</v>
      </c>
      <c r="BO177" s="244">
        <f t="shared" si="113"/>
        <v>24</v>
      </c>
      <c r="BP177" s="82"/>
      <c r="BQ177" s="159"/>
      <c r="BR177" s="143"/>
      <c r="BS177" s="143"/>
      <c r="BT177" s="159"/>
      <c r="BU177" s="159"/>
      <c r="BV177" s="143"/>
      <c r="BW177" s="197"/>
      <c r="BX177" s="143"/>
      <c r="BY177" s="143"/>
      <c r="BZ177" s="203"/>
      <c r="CA177" s="143"/>
      <c r="CB177" s="143"/>
      <c r="CC177" s="203"/>
      <c r="CD177" s="203"/>
      <c r="CE177" s="143"/>
      <c r="CF177" s="203"/>
      <c r="CG177" s="196"/>
      <c r="CH177" s="143"/>
      <c r="CI177" s="143"/>
      <c r="CJ177" s="203"/>
      <c r="CK177" s="203"/>
      <c r="CL177" s="203"/>
      <c r="CM177" s="203"/>
      <c r="CN177" s="143"/>
      <c r="CO177" s="143"/>
      <c r="CP177" s="203"/>
      <c r="CQ177" s="143">
        <v>5</v>
      </c>
      <c r="CR177" s="203">
        <v>5</v>
      </c>
      <c r="CS177" s="143"/>
      <c r="CT177" s="300"/>
    </row>
    <row r="178" spans="1:98" x14ac:dyDescent="0.25">
      <c r="A178" s="24" t="s">
        <v>575</v>
      </c>
      <c r="B178" s="18" t="s">
        <v>696</v>
      </c>
      <c r="C178" s="240" t="s">
        <v>85</v>
      </c>
      <c r="D178" s="65" t="s">
        <v>28</v>
      </c>
      <c r="E178" s="65" t="s">
        <v>29</v>
      </c>
      <c r="F178" s="2" t="s">
        <v>576</v>
      </c>
      <c r="G178" s="168" t="s">
        <v>44</v>
      </c>
      <c r="H178" s="305" t="s">
        <v>695</v>
      </c>
      <c r="I178" s="46"/>
      <c r="J178" s="46"/>
      <c r="L178" s="46"/>
      <c r="M178" s="19"/>
      <c r="N178" s="46"/>
      <c r="O178" s="46"/>
      <c r="P178" s="46"/>
      <c r="Q178" s="19"/>
      <c r="R178" s="19"/>
      <c r="S178" s="19"/>
      <c r="T178" s="20"/>
      <c r="U178" s="19">
        <v>1</v>
      </c>
      <c r="V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M178" s="46"/>
      <c r="AQ178" s="19"/>
      <c r="AR178" s="19"/>
      <c r="AS178" s="19"/>
      <c r="AT178" s="19"/>
      <c r="AU178" s="19"/>
      <c r="AV178" s="19"/>
      <c r="AW178" s="19"/>
      <c r="AY178" s="19"/>
      <c r="AZ178" s="20"/>
      <c r="BA178" s="19"/>
      <c r="BB178" s="19"/>
      <c r="BC178" s="19"/>
      <c r="BD178" s="19"/>
      <c r="BE178" s="19"/>
      <c r="BF178" s="19"/>
      <c r="BG178" s="19"/>
      <c r="BH178" s="20"/>
      <c r="BI178" s="19"/>
      <c r="BJ178" s="19"/>
      <c r="BK178" s="20"/>
      <c r="BL178" s="257">
        <v>2.37</v>
      </c>
      <c r="BM178" s="244">
        <f>ROUND((BL178*1.5+4)*10,0)/10</f>
        <v>7.6</v>
      </c>
      <c r="BN178" s="244">
        <f t="shared" si="112"/>
        <v>13.6</v>
      </c>
      <c r="BO178" s="244">
        <f t="shared" si="113"/>
        <v>24</v>
      </c>
      <c r="BP178" s="82"/>
      <c r="BQ178" s="159"/>
      <c r="BR178" s="143"/>
      <c r="BS178" s="143"/>
      <c r="BT178" s="159"/>
      <c r="BU178" s="159"/>
      <c r="BV178" s="143"/>
      <c r="BW178" s="197"/>
      <c r="BX178" s="143"/>
      <c r="BY178" s="143"/>
      <c r="BZ178" s="203"/>
      <c r="CA178" s="143"/>
      <c r="CB178" s="143"/>
      <c r="CC178" s="203"/>
      <c r="CD178" s="203"/>
      <c r="CE178" s="143"/>
      <c r="CF178" s="203"/>
      <c r="CG178" s="196"/>
      <c r="CH178" s="143"/>
      <c r="CI178" s="143"/>
      <c r="CJ178" s="203"/>
      <c r="CK178" s="203"/>
      <c r="CL178" s="203"/>
      <c r="CM178" s="203"/>
      <c r="CN178" s="143"/>
      <c r="CO178" s="143"/>
      <c r="CP178" s="203"/>
      <c r="CQ178" s="143">
        <v>5</v>
      </c>
      <c r="CR178" s="203">
        <v>5</v>
      </c>
      <c r="CS178" s="143"/>
      <c r="CT178" s="300"/>
    </row>
    <row r="179" spans="1:98" x14ac:dyDescent="0.25">
      <c r="A179" s="24" t="s">
        <v>575</v>
      </c>
      <c r="B179" s="18" t="s">
        <v>700</v>
      </c>
      <c r="C179" s="240" t="s">
        <v>85</v>
      </c>
      <c r="D179" s="65" t="s">
        <v>28</v>
      </c>
      <c r="E179" s="65" t="s">
        <v>29</v>
      </c>
      <c r="F179" s="2" t="s">
        <v>576</v>
      </c>
      <c r="G179" s="168" t="s">
        <v>45</v>
      </c>
      <c r="H179" s="305" t="s">
        <v>701</v>
      </c>
      <c r="I179" s="46"/>
      <c r="J179" s="46"/>
      <c r="L179" s="46"/>
      <c r="M179" s="19"/>
      <c r="N179" s="46"/>
      <c r="O179" s="46"/>
      <c r="P179" s="46"/>
      <c r="Q179" s="19"/>
      <c r="R179" s="19"/>
      <c r="S179" s="19"/>
      <c r="T179" s="20"/>
      <c r="U179" s="19"/>
      <c r="V179" s="19">
        <v>1</v>
      </c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M179" s="46"/>
      <c r="AQ179" s="19"/>
      <c r="AR179" s="19"/>
      <c r="AS179" s="19"/>
      <c r="AT179" s="19"/>
      <c r="AU179" s="19"/>
      <c r="AV179" s="19"/>
      <c r="AW179" s="19"/>
      <c r="AY179" s="19"/>
      <c r="AZ179" s="20"/>
      <c r="BA179" s="19"/>
      <c r="BB179" s="19"/>
      <c r="BC179" s="19"/>
      <c r="BD179" s="19"/>
      <c r="BE179" s="19"/>
      <c r="BF179" s="19"/>
      <c r="BG179" s="19"/>
      <c r="BH179" s="20"/>
      <c r="BI179" s="19"/>
      <c r="BJ179" s="19"/>
      <c r="BK179" s="20"/>
      <c r="BL179" s="257">
        <v>2.37</v>
      </c>
      <c r="BM179" s="244">
        <f t="shared" si="111"/>
        <v>7.6</v>
      </c>
      <c r="BN179" s="244">
        <f t="shared" si="112"/>
        <v>13.6</v>
      </c>
      <c r="BO179" s="244">
        <f t="shared" si="113"/>
        <v>24</v>
      </c>
      <c r="BP179" s="82"/>
      <c r="BQ179" s="159"/>
      <c r="BR179" s="143"/>
      <c r="BS179" s="143"/>
      <c r="BT179" s="159"/>
      <c r="BU179" s="159"/>
      <c r="BV179" s="143"/>
      <c r="BW179" s="197"/>
      <c r="BX179" s="143"/>
      <c r="BY179" s="143"/>
      <c r="BZ179" s="203"/>
      <c r="CA179" s="143"/>
      <c r="CB179" s="143"/>
      <c r="CC179" s="203"/>
      <c r="CD179" s="203"/>
      <c r="CE179" s="143"/>
      <c r="CF179" s="203"/>
      <c r="CG179" s="196"/>
      <c r="CH179" s="143"/>
      <c r="CI179" s="143"/>
      <c r="CJ179" s="203"/>
      <c r="CK179" s="203"/>
      <c r="CL179" s="203"/>
      <c r="CM179" s="203"/>
      <c r="CN179" s="143"/>
      <c r="CO179" s="143"/>
      <c r="CP179" s="203"/>
      <c r="CQ179" s="143">
        <v>5</v>
      </c>
      <c r="CR179" s="203">
        <v>5</v>
      </c>
      <c r="CS179" s="143"/>
      <c r="CT179" s="300"/>
    </row>
    <row r="180" spans="1:98" x14ac:dyDescent="0.25">
      <c r="A180" s="24" t="s">
        <v>575</v>
      </c>
      <c r="B180" s="18" t="s">
        <v>704</v>
      </c>
      <c r="C180" s="240" t="s">
        <v>85</v>
      </c>
      <c r="D180" s="65" t="s">
        <v>28</v>
      </c>
      <c r="E180" s="65" t="s">
        <v>29</v>
      </c>
      <c r="F180" s="2" t="s">
        <v>576</v>
      </c>
      <c r="G180" s="168" t="s">
        <v>89</v>
      </c>
      <c r="H180" s="305" t="s">
        <v>702</v>
      </c>
      <c r="I180" s="46"/>
      <c r="J180" s="46"/>
      <c r="L180" s="46"/>
      <c r="M180" s="19"/>
      <c r="N180" s="46"/>
      <c r="O180" s="46"/>
      <c r="P180" s="46"/>
      <c r="Q180" s="19"/>
      <c r="R180" s="19"/>
      <c r="S180" s="19"/>
      <c r="T180" s="20"/>
      <c r="U180" s="19"/>
      <c r="V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>
        <v>1</v>
      </c>
      <c r="AJ180" s="19"/>
      <c r="AM180" s="46"/>
      <c r="AQ180" s="19"/>
      <c r="AR180" s="19"/>
      <c r="AS180" s="19"/>
      <c r="AT180" s="19"/>
      <c r="AU180" s="19"/>
      <c r="AV180" s="19"/>
      <c r="AW180" s="19"/>
      <c r="AY180" s="19"/>
      <c r="AZ180" s="20"/>
      <c r="BA180" s="19"/>
      <c r="BB180" s="19"/>
      <c r="BC180" s="19"/>
      <c r="BD180" s="19"/>
      <c r="BE180" s="19"/>
      <c r="BF180" s="19"/>
      <c r="BG180" s="19"/>
      <c r="BH180" s="20"/>
      <c r="BI180" s="19"/>
      <c r="BJ180" s="19"/>
      <c r="BK180" s="20"/>
      <c r="BL180" s="257">
        <v>2.37</v>
      </c>
      <c r="BM180" s="244">
        <f t="shared" si="111"/>
        <v>7.6</v>
      </c>
      <c r="BN180" s="244">
        <f t="shared" si="112"/>
        <v>13.6</v>
      </c>
      <c r="BO180" s="244">
        <f t="shared" si="113"/>
        <v>24</v>
      </c>
      <c r="BP180" s="82"/>
      <c r="BQ180" s="159"/>
      <c r="BR180" s="143"/>
      <c r="BS180" s="143"/>
      <c r="BT180" s="159"/>
      <c r="BU180" s="159"/>
      <c r="BV180" s="143"/>
      <c r="BW180" s="197"/>
      <c r="BX180" s="143"/>
      <c r="BY180" s="143"/>
      <c r="BZ180" s="203"/>
      <c r="CA180" s="143"/>
      <c r="CB180" s="143"/>
      <c r="CC180" s="203"/>
      <c r="CD180" s="203"/>
      <c r="CE180" s="143"/>
      <c r="CF180" s="203"/>
      <c r="CG180" s="196"/>
      <c r="CH180" s="143"/>
      <c r="CI180" s="143"/>
      <c r="CJ180" s="203"/>
      <c r="CK180" s="203"/>
      <c r="CL180" s="203"/>
      <c r="CM180" s="203"/>
      <c r="CN180" s="143"/>
      <c r="CO180" s="143"/>
      <c r="CP180" s="203"/>
      <c r="CQ180" s="143">
        <v>5</v>
      </c>
      <c r="CR180" s="203">
        <v>5</v>
      </c>
      <c r="CS180" s="143"/>
      <c r="CT180" s="300"/>
    </row>
    <row r="181" spans="1:98" x14ac:dyDescent="0.25">
      <c r="A181" s="24" t="s">
        <v>575</v>
      </c>
      <c r="B181" s="18" t="s">
        <v>705</v>
      </c>
      <c r="C181" s="240" t="s">
        <v>85</v>
      </c>
      <c r="D181" s="65" t="s">
        <v>28</v>
      </c>
      <c r="E181" s="65" t="s">
        <v>29</v>
      </c>
      <c r="F181" s="2" t="s">
        <v>576</v>
      </c>
      <c r="G181" s="168" t="s">
        <v>317</v>
      </c>
      <c r="H181" s="260" t="s">
        <v>703</v>
      </c>
      <c r="I181" s="46"/>
      <c r="J181" s="46"/>
      <c r="L181" s="46"/>
      <c r="M181" s="19"/>
      <c r="N181" s="46"/>
      <c r="O181" s="46"/>
      <c r="P181" s="46"/>
      <c r="Q181" s="19"/>
      <c r="R181" s="19"/>
      <c r="S181" s="19"/>
      <c r="T181" s="20"/>
      <c r="U181" s="19"/>
      <c r="V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M181" s="46"/>
      <c r="AQ181" s="19"/>
      <c r="AR181" s="19"/>
      <c r="AS181" s="19"/>
      <c r="AT181" s="19"/>
      <c r="AU181" s="19"/>
      <c r="AV181" s="19">
        <v>1</v>
      </c>
      <c r="AW181" s="19"/>
      <c r="AY181" s="19"/>
      <c r="AZ181" s="20"/>
      <c r="BA181" s="19"/>
      <c r="BB181" s="19"/>
      <c r="BC181" s="19"/>
      <c r="BD181" s="19"/>
      <c r="BE181" s="19"/>
      <c r="BF181" s="19"/>
      <c r="BG181" s="19"/>
      <c r="BH181" s="20"/>
      <c r="BI181" s="19"/>
      <c r="BJ181" s="19"/>
      <c r="BK181" s="20"/>
      <c r="BL181" s="257">
        <v>2.37</v>
      </c>
      <c r="BM181" s="244">
        <f t="shared" si="111"/>
        <v>7.6</v>
      </c>
      <c r="BN181" s="244">
        <f t="shared" si="112"/>
        <v>13.6</v>
      </c>
      <c r="BO181" s="244">
        <f t="shared" si="113"/>
        <v>24</v>
      </c>
      <c r="BP181" s="82"/>
      <c r="BQ181" s="159"/>
      <c r="BR181" s="143"/>
      <c r="BS181" s="143"/>
      <c r="BT181" s="159"/>
      <c r="BU181" s="159"/>
      <c r="BV181" s="143"/>
      <c r="BW181" s="197"/>
      <c r="BX181" s="143"/>
      <c r="BY181" s="143"/>
      <c r="BZ181" s="203"/>
      <c r="CA181" s="143"/>
      <c r="CB181" s="143"/>
      <c r="CC181" s="203"/>
      <c r="CD181" s="203"/>
      <c r="CE181" s="143"/>
      <c r="CF181" s="203"/>
      <c r="CG181" s="196"/>
      <c r="CH181" s="143"/>
      <c r="CI181" s="143"/>
      <c r="CJ181" s="203"/>
      <c r="CK181" s="203"/>
      <c r="CL181" s="203"/>
      <c r="CM181" s="203"/>
      <c r="CN181" s="143"/>
      <c r="CO181" s="143"/>
      <c r="CP181" s="203"/>
      <c r="CQ181" s="143"/>
      <c r="CR181" s="203"/>
      <c r="CS181" s="143"/>
      <c r="CT181" s="300"/>
    </row>
    <row r="182" spans="1:98" x14ac:dyDescent="0.25">
      <c r="A182" s="221" t="s">
        <v>575</v>
      </c>
      <c r="B182" s="222" t="s">
        <v>610</v>
      </c>
      <c r="C182" s="242" t="s">
        <v>85</v>
      </c>
      <c r="D182" s="67" t="s">
        <v>28</v>
      </c>
      <c r="E182" s="67" t="s">
        <v>29</v>
      </c>
      <c r="F182" s="15" t="s">
        <v>576</v>
      </c>
      <c r="G182" s="232" t="s">
        <v>38</v>
      </c>
      <c r="H182" s="223" t="s">
        <v>606</v>
      </c>
      <c r="I182" s="223"/>
      <c r="J182" s="223"/>
      <c r="K182" s="224"/>
      <c r="L182" s="225"/>
      <c r="M182" s="225"/>
      <c r="N182" s="225"/>
      <c r="O182" s="225"/>
      <c r="P182" s="225"/>
      <c r="Q182" s="225"/>
      <c r="R182" s="225"/>
      <c r="S182" s="225"/>
      <c r="T182" s="231"/>
      <c r="U182" s="225"/>
      <c r="V182" s="225"/>
      <c r="W182" s="274"/>
      <c r="X182" s="225"/>
      <c r="Y182" s="225"/>
      <c r="Z182" s="225"/>
      <c r="AA182" s="225"/>
      <c r="AB182" s="225"/>
      <c r="AC182" s="225"/>
      <c r="AD182" s="225"/>
      <c r="AE182" s="225"/>
      <c r="AF182" s="225">
        <v>1</v>
      </c>
      <c r="AG182" s="225"/>
      <c r="AH182" s="225"/>
      <c r="AI182" s="225"/>
      <c r="AJ182" s="225"/>
      <c r="AK182" s="274"/>
      <c r="AL182" s="274"/>
      <c r="AM182" s="49"/>
      <c r="AN182" s="274"/>
      <c r="AO182" s="274"/>
      <c r="AP182" s="274"/>
      <c r="AQ182" s="225"/>
      <c r="AR182" s="225"/>
      <c r="AS182" s="225"/>
      <c r="AT182" s="225"/>
      <c r="AU182" s="225"/>
      <c r="AV182" s="225"/>
      <c r="AW182" s="225"/>
      <c r="AX182" s="274"/>
      <c r="AY182" s="225"/>
      <c r="AZ182" s="231"/>
      <c r="BA182" s="225"/>
      <c r="BB182" s="225"/>
      <c r="BC182" s="225"/>
      <c r="BD182" s="225"/>
      <c r="BE182" s="225"/>
      <c r="BF182" s="225"/>
      <c r="BG182" s="225"/>
      <c r="BH182" s="231"/>
      <c r="BI182" s="225"/>
      <c r="BJ182" s="225"/>
      <c r="BK182" s="231"/>
      <c r="BL182" s="254">
        <v>2.25</v>
      </c>
      <c r="BM182" s="244">
        <f t="shared" si="102"/>
        <v>7.4</v>
      </c>
      <c r="BN182" s="244">
        <f t="shared" si="103"/>
        <v>13.4</v>
      </c>
      <c r="BO182" s="244">
        <f t="shared" si="104"/>
        <v>23</v>
      </c>
      <c r="BP182" s="82">
        <v>0</v>
      </c>
      <c r="BQ182" s="159">
        <v>0</v>
      </c>
      <c r="BR182" s="226"/>
      <c r="BS182" s="226"/>
      <c r="BT182" s="229"/>
      <c r="BU182" s="230"/>
      <c r="BV182" s="222"/>
      <c r="BW182" s="228"/>
      <c r="BX182" s="227"/>
      <c r="BY182" s="227"/>
      <c r="BZ182" s="222"/>
      <c r="CA182" s="227"/>
      <c r="CB182" s="269">
        <v>10</v>
      </c>
      <c r="CC182" s="246">
        <v>10</v>
      </c>
      <c r="CD182" s="246"/>
      <c r="CE182" s="236"/>
      <c r="CF182" s="246"/>
      <c r="CG182" s="236"/>
      <c r="CH182" s="236"/>
      <c r="CI182" s="236"/>
      <c r="CJ182" s="246"/>
      <c r="CK182" s="246"/>
      <c r="CL182" s="246"/>
      <c r="CM182" s="246"/>
      <c r="CN182" s="236"/>
      <c r="CO182" s="236"/>
      <c r="CP182" s="246"/>
      <c r="CQ182" s="236"/>
      <c r="CR182" s="246"/>
      <c r="CS182" s="236"/>
      <c r="CT182" s="300"/>
    </row>
    <row r="183" spans="1:98" x14ac:dyDescent="0.25">
      <c r="F183" s="2"/>
      <c r="H183" s="3"/>
      <c r="I183" s="3"/>
      <c r="J183" s="3"/>
      <c r="K183" s="92"/>
      <c r="AM183" s="46"/>
      <c r="BE183" s="9"/>
      <c r="BF183" s="9"/>
      <c r="BG183" s="9"/>
      <c r="BI183" s="9"/>
      <c r="BJ183" s="9"/>
      <c r="BK183" s="9"/>
    </row>
    <row r="184" spans="1:98" x14ac:dyDescent="0.25">
      <c r="F184" s="2"/>
      <c r="H184" s="3"/>
      <c r="I184" s="3"/>
      <c r="J184" s="3"/>
      <c r="K184" s="92"/>
      <c r="AM184" s="46"/>
      <c r="BE184" s="9"/>
      <c r="BF184" s="9"/>
      <c r="BG184" s="9"/>
      <c r="BI184" s="9"/>
      <c r="BJ184" s="9"/>
      <c r="BK184" s="9"/>
    </row>
    <row r="185" spans="1:98" x14ac:dyDescent="0.25">
      <c r="A185" s="4"/>
      <c r="B185" s="4"/>
      <c r="C185" s="214"/>
      <c r="F185" s="2"/>
      <c r="H185" s="3"/>
      <c r="I185" s="3"/>
      <c r="J185" s="3"/>
      <c r="K185" s="92"/>
      <c r="AM185" s="46"/>
      <c r="BE185" s="9"/>
      <c r="BF185" s="9"/>
      <c r="BG185" s="9"/>
      <c r="BI185" s="9"/>
      <c r="BJ185" s="9"/>
      <c r="BK185" s="9"/>
    </row>
    <row r="186" spans="1:98" x14ac:dyDescent="0.25">
      <c r="F186" s="2"/>
      <c r="H186" s="3"/>
      <c r="I186" s="3"/>
      <c r="J186" s="3"/>
      <c r="K186" s="92"/>
      <c r="AM186" s="46"/>
      <c r="BE186" s="9"/>
      <c r="BF186" s="9"/>
      <c r="BG186" s="9"/>
      <c r="BI186" s="9"/>
      <c r="BJ186" s="9"/>
      <c r="BK186" s="9"/>
    </row>
    <row r="187" spans="1:98" x14ac:dyDescent="0.25">
      <c r="F187" s="2"/>
      <c r="H187" s="3"/>
      <c r="I187" s="3"/>
      <c r="J187" s="3"/>
      <c r="K187" s="92"/>
      <c r="AM187" s="46"/>
      <c r="BE187" s="9"/>
      <c r="BF187" s="9"/>
      <c r="BG187" s="9"/>
      <c r="BI187" s="9"/>
      <c r="BJ187" s="9"/>
      <c r="BK187" s="9"/>
    </row>
    <row r="188" spans="1:98" x14ac:dyDescent="0.25">
      <c r="F188" s="2"/>
      <c r="H188" s="3"/>
      <c r="I188" s="3"/>
      <c r="J188" s="3"/>
      <c r="K188" s="92"/>
      <c r="AM188" s="46"/>
      <c r="BE188" s="9"/>
      <c r="BF188" s="9"/>
      <c r="BG188" s="9"/>
      <c r="BI188" s="9"/>
      <c r="BJ188" s="9"/>
      <c r="BK188" s="9"/>
    </row>
    <row r="189" spans="1:98" x14ac:dyDescent="0.25">
      <c r="F189" s="2"/>
      <c r="H189" s="3"/>
      <c r="I189" s="3"/>
      <c r="J189" s="3"/>
      <c r="K189" s="92"/>
      <c r="AM189" s="46"/>
      <c r="BE189" s="9"/>
      <c r="BF189" s="9"/>
      <c r="BG189" s="9"/>
      <c r="BI189" s="9"/>
      <c r="BJ189" s="9"/>
      <c r="BK189" s="9"/>
    </row>
    <row r="190" spans="1:98" x14ac:dyDescent="0.25">
      <c r="F190" s="2"/>
      <c r="H190" s="3"/>
      <c r="I190" s="3"/>
      <c r="J190" s="3"/>
      <c r="K190" s="92"/>
      <c r="AM190" s="46"/>
      <c r="BE190" s="9"/>
      <c r="BF190" s="9"/>
      <c r="BG190" s="9"/>
      <c r="BI190" s="9"/>
      <c r="BJ190" s="9"/>
      <c r="BK190" s="9"/>
    </row>
    <row r="191" spans="1:98" x14ac:dyDescent="0.25">
      <c r="F191" s="2"/>
      <c r="H191" s="3"/>
      <c r="I191" s="3"/>
      <c r="J191" s="3"/>
      <c r="K191" s="92"/>
      <c r="AM191" s="46"/>
      <c r="BE191" s="9"/>
      <c r="BF191" s="9"/>
      <c r="BG191" s="9"/>
      <c r="BI191" s="9"/>
      <c r="BJ191" s="9"/>
      <c r="BK191" s="9"/>
    </row>
    <row r="192" spans="1:98" x14ac:dyDescent="0.25">
      <c r="F192" s="2"/>
      <c r="H192" s="3"/>
      <c r="I192" s="3"/>
      <c r="J192" s="3"/>
      <c r="K192" s="92"/>
      <c r="AM192" s="46"/>
      <c r="BE192" s="9"/>
      <c r="BF192" s="9"/>
      <c r="BG192" s="9"/>
      <c r="BI192" s="9"/>
      <c r="BJ192" s="9"/>
      <c r="BK192" s="9"/>
    </row>
    <row r="193" spans="1:63" x14ac:dyDescent="0.25">
      <c r="F193" s="2"/>
      <c r="H193" s="3"/>
      <c r="I193" s="3"/>
      <c r="J193" s="3"/>
      <c r="K193" s="92"/>
      <c r="AM193" s="46"/>
      <c r="BE193" s="9"/>
      <c r="BF193" s="9"/>
      <c r="BG193" s="9"/>
      <c r="BI193" s="9"/>
      <c r="BJ193" s="9"/>
      <c r="BK193" s="9"/>
    </row>
    <row r="194" spans="1:63" x14ac:dyDescent="0.25">
      <c r="F194" s="2"/>
      <c r="H194" s="3"/>
      <c r="I194" s="3"/>
      <c r="J194" s="3"/>
      <c r="K194" s="92"/>
      <c r="AM194" s="46"/>
      <c r="BE194" s="9"/>
      <c r="BF194" s="9"/>
      <c r="BG194" s="9"/>
      <c r="BI194" s="9"/>
      <c r="BJ194" s="9"/>
      <c r="BK194" s="9"/>
    </row>
    <row r="195" spans="1:63" x14ac:dyDescent="0.25">
      <c r="A195" s="4"/>
      <c r="B195" s="4"/>
      <c r="C195" s="214"/>
      <c r="F195" s="2"/>
      <c r="H195" s="3"/>
      <c r="I195" s="3"/>
      <c r="J195" s="3"/>
      <c r="K195" s="92"/>
      <c r="AM195" s="46"/>
      <c r="BE195" s="9"/>
      <c r="BF195" s="9"/>
      <c r="BG195" s="9"/>
      <c r="BI195" s="9"/>
      <c r="BJ195" s="9"/>
      <c r="BK195" s="9"/>
    </row>
    <row r="196" spans="1:63" x14ac:dyDescent="0.25">
      <c r="F196" s="2"/>
      <c r="H196" s="3"/>
      <c r="I196" s="3"/>
      <c r="J196" s="3"/>
      <c r="K196" s="92"/>
      <c r="AM196" s="46"/>
      <c r="BE196" s="9"/>
      <c r="BF196" s="9"/>
      <c r="BG196" s="9"/>
      <c r="BI196" s="9"/>
      <c r="BJ196" s="9"/>
      <c r="BK196" s="9"/>
    </row>
    <row r="197" spans="1:63" x14ac:dyDescent="0.25">
      <c r="F197" s="2"/>
      <c r="H197" s="3"/>
      <c r="I197" s="3"/>
      <c r="J197" s="3"/>
      <c r="K197" s="92"/>
      <c r="AM197" s="46"/>
      <c r="BE197" s="9"/>
      <c r="BF197" s="9"/>
      <c r="BG197" s="9"/>
      <c r="BI197" s="9"/>
      <c r="BJ197" s="9"/>
      <c r="BK197" s="9"/>
    </row>
    <row r="198" spans="1:63" x14ac:dyDescent="0.25">
      <c r="A198" s="4"/>
      <c r="B198" s="4"/>
      <c r="C198" s="214"/>
      <c r="F198" s="2"/>
      <c r="H198" s="3"/>
      <c r="I198" s="3"/>
      <c r="J198" s="3"/>
      <c r="K198" s="92"/>
      <c r="AM198" s="46"/>
      <c r="BE198" s="9"/>
      <c r="BF198" s="9"/>
      <c r="BG198" s="9"/>
      <c r="BI198" s="9"/>
      <c r="BJ198" s="9"/>
      <c r="BK198" s="9"/>
    </row>
    <row r="199" spans="1:63" x14ac:dyDescent="0.25">
      <c r="F199" s="2"/>
      <c r="H199" s="3"/>
      <c r="I199" s="3"/>
      <c r="J199" s="3"/>
      <c r="K199" s="92"/>
      <c r="AM199" s="46"/>
      <c r="BE199" s="9"/>
      <c r="BF199" s="9"/>
      <c r="BG199" s="9"/>
      <c r="BI199" s="9"/>
      <c r="BJ199" s="9"/>
      <c r="BK199" s="9"/>
    </row>
    <row r="200" spans="1:63" x14ac:dyDescent="0.25">
      <c r="F200" s="2"/>
      <c r="H200" s="3"/>
      <c r="I200" s="3"/>
      <c r="J200" s="3"/>
      <c r="K200" s="92"/>
      <c r="AM200" s="46"/>
      <c r="BE200" s="9"/>
      <c r="BF200" s="9"/>
      <c r="BG200" s="9"/>
      <c r="BI200" s="9"/>
      <c r="BJ200" s="9"/>
      <c r="BK200" s="9"/>
    </row>
    <row r="201" spans="1:63" x14ac:dyDescent="0.25">
      <c r="F201" s="2"/>
      <c r="H201" s="3"/>
      <c r="I201" s="3"/>
      <c r="J201" s="3"/>
      <c r="K201" s="92"/>
      <c r="AM201" s="46"/>
      <c r="BE201" s="9"/>
      <c r="BF201" s="9"/>
      <c r="BG201" s="9"/>
      <c r="BI201" s="9"/>
      <c r="BJ201" s="9"/>
      <c r="BK201" s="9"/>
    </row>
    <row r="202" spans="1:63" x14ac:dyDescent="0.25">
      <c r="F202" s="2"/>
      <c r="H202" s="3"/>
      <c r="I202" s="3"/>
      <c r="J202" s="3"/>
      <c r="K202" s="92"/>
      <c r="AM202" s="46"/>
      <c r="BE202" s="9"/>
      <c r="BF202" s="9"/>
      <c r="BG202" s="9"/>
      <c r="BI202" s="9"/>
      <c r="BJ202" s="9"/>
      <c r="BK202" s="9"/>
    </row>
    <row r="203" spans="1:63" x14ac:dyDescent="0.25">
      <c r="A203" s="4"/>
      <c r="B203" s="4"/>
      <c r="C203" s="214"/>
      <c r="F203" s="2"/>
      <c r="H203" s="3"/>
      <c r="I203" s="3"/>
      <c r="J203" s="3"/>
      <c r="K203" s="92"/>
      <c r="AM203" s="46"/>
      <c r="BE203" s="9"/>
      <c r="BF203" s="9"/>
      <c r="BG203" s="9"/>
      <c r="BI203" s="9"/>
      <c r="BJ203" s="9"/>
      <c r="BK203" s="9"/>
    </row>
    <row r="204" spans="1:63" x14ac:dyDescent="0.25">
      <c r="F204" s="2"/>
      <c r="H204" s="3"/>
      <c r="I204" s="3"/>
      <c r="J204" s="3"/>
      <c r="K204" s="92"/>
      <c r="AM204" s="46"/>
      <c r="BE204" s="9"/>
      <c r="BF204" s="9"/>
      <c r="BG204" s="9"/>
      <c r="BI204" s="9"/>
      <c r="BJ204" s="9"/>
      <c r="BK204" s="9"/>
    </row>
    <row r="205" spans="1:63" x14ac:dyDescent="0.25">
      <c r="F205" s="2"/>
      <c r="H205" s="3"/>
      <c r="I205" s="3"/>
      <c r="J205" s="3"/>
      <c r="K205" s="92"/>
      <c r="AM205" s="46"/>
      <c r="BE205" s="9"/>
      <c r="BF205" s="9"/>
      <c r="BG205" s="9"/>
      <c r="BI205" s="9"/>
      <c r="BJ205" s="9"/>
      <c r="BK205" s="9"/>
    </row>
    <row r="206" spans="1:63" x14ac:dyDescent="0.25">
      <c r="F206" s="2"/>
      <c r="H206" s="3"/>
      <c r="I206" s="3"/>
      <c r="J206" s="3"/>
      <c r="K206" s="92"/>
      <c r="AM206" s="46"/>
      <c r="BE206" s="9"/>
      <c r="BF206" s="9"/>
      <c r="BG206" s="9"/>
      <c r="BI206" s="9"/>
      <c r="BJ206" s="9"/>
      <c r="BK206" s="9"/>
    </row>
    <row r="207" spans="1:63" x14ac:dyDescent="0.25">
      <c r="F207" s="2"/>
      <c r="H207" s="3"/>
      <c r="I207" s="3"/>
      <c r="J207" s="3"/>
      <c r="K207" s="92"/>
      <c r="AM207" s="46"/>
      <c r="BE207" s="9"/>
      <c r="BF207" s="9"/>
      <c r="BG207" s="9"/>
      <c r="BI207" s="9"/>
      <c r="BJ207" s="9"/>
      <c r="BK207" s="9"/>
    </row>
    <row r="208" spans="1:63" x14ac:dyDescent="0.25">
      <c r="F208" s="2"/>
      <c r="H208" s="3"/>
      <c r="I208" s="3"/>
      <c r="J208" s="3"/>
      <c r="K208" s="92"/>
      <c r="AM208" s="46"/>
      <c r="BE208" s="9"/>
      <c r="BF208" s="9"/>
      <c r="BG208" s="9"/>
      <c r="BI208" s="9"/>
      <c r="BJ208" s="9"/>
      <c r="BK208" s="9"/>
    </row>
    <row r="209" spans="6:63" x14ac:dyDescent="0.25">
      <c r="F209" s="2"/>
      <c r="H209" s="3"/>
      <c r="I209" s="3"/>
      <c r="J209" s="3"/>
      <c r="K209" s="92"/>
      <c r="AM209" s="46"/>
      <c r="BE209" s="9"/>
      <c r="BF209" s="9"/>
      <c r="BG209" s="9"/>
      <c r="BI209" s="9"/>
      <c r="BJ209" s="9"/>
      <c r="BK209" s="9"/>
    </row>
    <row r="210" spans="6:63" x14ac:dyDescent="0.25">
      <c r="F210" s="2"/>
      <c r="H210" s="3"/>
      <c r="I210" s="3"/>
      <c r="J210" s="3"/>
      <c r="K210" s="92"/>
      <c r="AM210" s="46"/>
      <c r="BE210" s="9"/>
      <c r="BF210" s="9"/>
      <c r="BG210" s="9"/>
      <c r="BI210" s="9"/>
      <c r="BJ210" s="9"/>
      <c r="BK210" s="9"/>
    </row>
    <row r="211" spans="6:63" x14ac:dyDescent="0.25">
      <c r="F211" s="2"/>
      <c r="H211" s="3"/>
      <c r="I211" s="3"/>
      <c r="J211" s="3"/>
      <c r="K211" s="92"/>
      <c r="AM211" s="46"/>
      <c r="BE211" s="9"/>
      <c r="BF211" s="9"/>
      <c r="BG211" s="9"/>
      <c r="BI211" s="9"/>
      <c r="BJ211" s="9"/>
      <c r="BK211" s="9"/>
    </row>
    <row r="212" spans="6:63" x14ac:dyDescent="0.25">
      <c r="F212" s="2"/>
      <c r="H212" s="3"/>
      <c r="I212" s="3"/>
      <c r="J212" s="3"/>
      <c r="K212" s="92"/>
      <c r="AM212" s="46"/>
      <c r="BE212" s="9"/>
      <c r="BF212" s="9"/>
      <c r="BG212" s="9"/>
      <c r="BI212" s="9"/>
      <c r="BJ212" s="9"/>
      <c r="BK212" s="9"/>
    </row>
    <row r="213" spans="6:63" x14ac:dyDescent="0.25">
      <c r="F213" s="2"/>
      <c r="H213" s="3"/>
      <c r="I213" s="3"/>
      <c r="J213" s="3"/>
      <c r="K213" s="92"/>
      <c r="AM213" s="46"/>
      <c r="BE213" s="9"/>
      <c r="BF213" s="9"/>
      <c r="BG213" s="9"/>
      <c r="BI213" s="9"/>
      <c r="BJ213" s="9"/>
      <c r="BK213" s="9"/>
    </row>
    <row r="214" spans="6:63" x14ac:dyDescent="0.25">
      <c r="F214" s="2"/>
      <c r="H214" s="3"/>
      <c r="I214" s="3"/>
      <c r="J214" s="3"/>
      <c r="K214" s="92"/>
      <c r="AM214" s="46"/>
      <c r="BE214" s="9"/>
      <c r="BF214" s="9"/>
      <c r="BG214" s="9"/>
      <c r="BI214" s="9"/>
      <c r="BJ214" s="9"/>
      <c r="BK214" s="9"/>
    </row>
    <row r="215" spans="6:63" x14ac:dyDescent="0.25">
      <c r="F215" s="2"/>
      <c r="H215" s="3"/>
      <c r="I215" s="3"/>
      <c r="J215" s="3"/>
      <c r="K215" s="92"/>
      <c r="AM215" s="46"/>
      <c r="BE215" s="9"/>
      <c r="BF215" s="9"/>
      <c r="BG215" s="9"/>
      <c r="BI215" s="9"/>
      <c r="BJ215" s="9"/>
      <c r="BK215" s="9"/>
    </row>
    <row r="216" spans="6:63" x14ac:dyDescent="0.25">
      <c r="F216" s="2"/>
      <c r="H216" s="3"/>
      <c r="I216" s="3"/>
      <c r="J216" s="3"/>
      <c r="K216" s="92"/>
      <c r="AM216" s="46"/>
      <c r="BE216" s="9"/>
      <c r="BF216" s="9"/>
      <c r="BG216" s="9"/>
      <c r="BI216" s="9"/>
      <c r="BJ216" s="9"/>
      <c r="BK216" s="9"/>
    </row>
    <row r="217" spans="6:63" x14ac:dyDescent="0.25">
      <c r="F217" s="2"/>
      <c r="H217" s="3"/>
      <c r="I217" s="3"/>
      <c r="J217" s="3"/>
      <c r="K217" s="92"/>
      <c r="AM217" s="46"/>
      <c r="BE217" s="9"/>
      <c r="BF217" s="9"/>
      <c r="BG217" s="9"/>
      <c r="BI217" s="9"/>
      <c r="BJ217" s="9"/>
      <c r="BK217" s="9"/>
    </row>
    <row r="218" spans="6:63" x14ac:dyDescent="0.25">
      <c r="F218" s="2"/>
      <c r="H218" s="3"/>
      <c r="I218" s="3"/>
      <c r="J218" s="3"/>
      <c r="K218" s="92"/>
      <c r="AM218" s="46"/>
      <c r="BE218" s="9"/>
      <c r="BF218" s="9"/>
      <c r="BG218" s="9"/>
      <c r="BI218" s="9"/>
      <c r="BJ218" s="9"/>
      <c r="BK218" s="9"/>
    </row>
    <row r="219" spans="6:63" x14ac:dyDescent="0.25">
      <c r="F219" s="2"/>
      <c r="H219" s="3"/>
      <c r="I219" s="3"/>
      <c r="J219" s="3"/>
      <c r="K219" s="92"/>
      <c r="AM219" s="46"/>
      <c r="BE219" s="9"/>
      <c r="BF219" s="9"/>
      <c r="BG219" s="9"/>
      <c r="BI219" s="9"/>
      <c r="BJ219" s="9"/>
      <c r="BK219" s="9"/>
    </row>
    <row r="220" spans="6:63" x14ac:dyDescent="0.25">
      <c r="F220" s="2"/>
      <c r="H220" s="3"/>
      <c r="I220" s="3"/>
      <c r="J220" s="3"/>
      <c r="K220" s="92"/>
      <c r="AM220" s="46"/>
      <c r="BE220" s="9"/>
      <c r="BF220" s="9"/>
      <c r="BG220" s="9"/>
      <c r="BI220" s="9"/>
      <c r="BJ220" s="9"/>
      <c r="BK220" s="9"/>
    </row>
    <row r="221" spans="6:63" x14ac:dyDescent="0.25">
      <c r="F221" s="2"/>
      <c r="H221" s="3"/>
      <c r="I221" s="3"/>
      <c r="J221" s="3"/>
      <c r="K221" s="92"/>
      <c r="AM221" s="46"/>
      <c r="BE221" s="9"/>
      <c r="BF221" s="9"/>
      <c r="BG221" s="9"/>
      <c r="BI221" s="9"/>
      <c r="BJ221" s="9"/>
      <c r="BK221" s="9"/>
    </row>
    <row r="222" spans="6:63" x14ac:dyDescent="0.25">
      <c r="F222" s="2"/>
      <c r="H222" s="3"/>
      <c r="I222" s="3"/>
      <c r="J222" s="3"/>
      <c r="K222" s="92"/>
      <c r="AM222" s="46"/>
      <c r="BE222" s="9"/>
      <c r="BF222" s="9"/>
      <c r="BG222" s="9"/>
      <c r="BI222" s="9"/>
      <c r="BJ222" s="9"/>
      <c r="BK222" s="9"/>
    </row>
    <row r="223" spans="6:63" x14ac:dyDescent="0.25">
      <c r="F223" s="2"/>
      <c r="H223" s="3"/>
      <c r="I223" s="3"/>
      <c r="J223" s="3"/>
      <c r="K223" s="92"/>
      <c r="AM223" s="46"/>
      <c r="BE223" s="9"/>
      <c r="BF223" s="9"/>
      <c r="BG223" s="9"/>
      <c r="BI223" s="9"/>
      <c r="BJ223" s="9"/>
      <c r="BK223" s="9"/>
    </row>
    <row r="224" spans="6:63" x14ac:dyDescent="0.25">
      <c r="F224" s="2"/>
      <c r="H224" s="3"/>
      <c r="I224" s="3"/>
      <c r="J224" s="3"/>
      <c r="K224" s="92"/>
      <c r="AM224" s="46"/>
      <c r="BE224" s="9"/>
      <c r="BF224" s="9"/>
      <c r="BG224" s="9"/>
      <c r="BI224" s="9"/>
      <c r="BJ224" s="9"/>
      <c r="BK224" s="9"/>
    </row>
    <row r="225" spans="1:75" x14ac:dyDescent="0.25">
      <c r="F225" s="2"/>
      <c r="H225" s="3"/>
      <c r="I225" s="3"/>
      <c r="J225" s="3"/>
      <c r="K225" s="92"/>
      <c r="AM225" s="46"/>
      <c r="BE225" s="9"/>
      <c r="BF225" s="9"/>
      <c r="BG225" s="9"/>
      <c r="BI225" s="9"/>
      <c r="BJ225" s="9"/>
      <c r="BK225" s="9"/>
    </row>
    <row r="226" spans="1:75" x14ac:dyDescent="0.25">
      <c r="F226" s="2"/>
      <c r="H226" s="3"/>
      <c r="I226" s="3"/>
      <c r="J226" s="3"/>
      <c r="K226" s="92"/>
      <c r="AM226" s="46"/>
      <c r="BE226" s="9"/>
      <c r="BF226" s="9"/>
      <c r="BG226" s="9"/>
      <c r="BI226" s="9"/>
      <c r="BJ226" s="9"/>
      <c r="BK226" s="9"/>
    </row>
    <row r="227" spans="1:75" x14ac:dyDescent="0.25">
      <c r="F227" s="2"/>
      <c r="H227" s="3"/>
      <c r="I227" s="3"/>
      <c r="J227" s="3"/>
      <c r="K227" s="92"/>
      <c r="AM227" s="46"/>
      <c r="BE227" s="9"/>
      <c r="BF227" s="9"/>
      <c r="BG227" s="9"/>
      <c r="BI227" s="9"/>
      <c r="BJ227" s="9"/>
      <c r="BK227" s="9"/>
    </row>
    <row r="228" spans="1:75" x14ac:dyDescent="0.25">
      <c r="F228" s="2"/>
      <c r="H228" s="3"/>
      <c r="I228" s="3"/>
      <c r="J228" s="3"/>
      <c r="K228" s="92"/>
      <c r="AM228" s="46"/>
      <c r="BE228" s="9"/>
      <c r="BF228" s="9"/>
      <c r="BG228" s="9"/>
      <c r="BI228" s="9"/>
      <c r="BJ228" s="9"/>
      <c r="BK228" s="9"/>
    </row>
    <row r="229" spans="1:75" x14ac:dyDescent="0.25">
      <c r="F229" s="2"/>
      <c r="H229" s="3"/>
      <c r="I229" s="3"/>
      <c r="J229" s="3"/>
      <c r="K229" s="92"/>
      <c r="AM229" s="46"/>
      <c r="BE229" s="9"/>
      <c r="BF229" s="9"/>
      <c r="BG229" s="9"/>
      <c r="BI229" s="9"/>
      <c r="BJ229" s="9"/>
      <c r="BK229" s="9"/>
    </row>
    <row r="230" spans="1:75" x14ac:dyDescent="0.25">
      <c r="F230" s="2"/>
      <c r="H230" s="3"/>
      <c r="I230" s="3"/>
      <c r="J230" s="3"/>
      <c r="K230" s="92"/>
      <c r="AM230" s="46"/>
      <c r="BE230" s="9"/>
      <c r="BF230" s="9"/>
      <c r="BG230" s="9"/>
      <c r="BI230" s="9"/>
      <c r="BJ230" s="9"/>
      <c r="BK230" s="9"/>
    </row>
    <row r="231" spans="1:75" x14ac:dyDescent="0.25">
      <c r="F231" s="2"/>
      <c r="H231" s="3"/>
      <c r="I231" s="3"/>
      <c r="J231" s="3"/>
      <c r="K231" s="92"/>
      <c r="AM231" s="46"/>
      <c r="BE231" s="9"/>
      <c r="BF231" s="9"/>
      <c r="BG231" s="9"/>
      <c r="BI231" s="9"/>
      <c r="BJ231" s="9"/>
      <c r="BK231" s="9"/>
    </row>
    <row r="232" spans="1:75" x14ac:dyDescent="0.25">
      <c r="F232" s="2"/>
      <c r="H232" s="3"/>
      <c r="I232" s="3"/>
      <c r="J232" s="3"/>
      <c r="K232" s="92"/>
      <c r="AM232" s="46"/>
      <c r="BE232" s="9"/>
      <c r="BF232" s="9"/>
      <c r="BG232" s="9"/>
      <c r="BI232" s="9"/>
      <c r="BJ232" s="9"/>
      <c r="BK232" s="9"/>
    </row>
    <row r="233" spans="1:75" x14ac:dyDescent="0.25">
      <c r="F233" s="2"/>
      <c r="H233" s="3"/>
      <c r="I233" s="3"/>
      <c r="J233" s="3"/>
      <c r="K233" s="92"/>
      <c r="AM233" s="46"/>
      <c r="BE233" s="9"/>
      <c r="BF233" s="9"/>
      <c r="BG233" s="9"/>
      <c r="BI233" s="9"/>
      <c r="BJ233" s="9"/>
      <c r="BK233" s="9"/>
    </row>
    <row r="234" spans="1:75" x14ac:dyDescent="0.25">
      <c r="F234" s="2"/>
      <c r="H234" s="3"/>
      <c r="I234" s="3"/>
      <c r="J234" s="3"/>
      <c r="K234" s="92"/>
      <c r="AM234" s="46"/>
      <c r="BE234" s="9"/>
      <c r="BF234" s="9"/>
      <c r="BG234" s="9"/>
      <c r="BI234" s="9"/>
      <c r="BJ234" s="9"/>
      <c r="BK234" s="9"/>
    </row>
    <row r="235" spans="1:75" x14ac:dyDescent="0.25">
      <c r="F235" s="2"/>
      <c r="H235" s="3"/>
      <c r="I235" s="3"/>
      <c r="J235" s="3"/>
      <c r="K235" s="92"/>
      <c r="AM235" s="46"/>
      <c r="BE235" s="9"/>
      <c r="BF235" s="9"/>
      <c r="BG235" s="9"/>
      <c r="BI235" s="9"/>
      <c r="BJ235" s="9"/>
      <c r="BK235" s="9"/>
    </row>
    <row r="236" spans="1:75" x14ac:dyDescent="0.25">
      <c r="F236" s="2"/>
      <c r="H236" s="3"/>
      <c r="I236" s="3"/>
      <c r="J236" s="3"/>
      <c r="K236" s="92"/>
      <c r="AM236" s="46"/>
      <c r="BE236" s="9"/>
      <c r="BF236" s="9"/>
      <c r="BG236" s="9"/>
      <c r="BI236" s="9"/>
      <c r="BJ236" s="9"/>
      <c r="BK236" s="9"/>
    </row>
    <row r="237" spans="1:75" x14ac:dyDescent="0.25">
      <c r="F237" s="2"/>
      <c r="H237" s="3"/>
      <c r="I237" s="3"/>
      <c r="J237" s="3"/>
      <c r="K237" s="92"/>
      <c r="AM237" s="46"/>
      <c r="BE237" s="9"/>
      <c r="BF237" s="9"/>
      <c r="BG237" s="9"/>
      <c r="BI237" s="9"/>
      <c r="BJ237" s="9"/>
      <c r="BK237" s="9"/>
    </row>
    <row r="238" spans="1:75" x14ac:dyDescent="0.25">
      <c r="F238" s="2"/>
      <c r="H238" s="3"/>
      <c r="I238" s="3"/>
      <c r="J238" s="3"/>
      <c r="K238" s="92"/>
      <c r="AM238" s="46"/>
      <c r="BE238" s="9"/>
      <c r="BF238" s="9"/>
      <c r="BG238" s="9"/>
      <c r="BI238" s="9"/>
      <c r="BJ238" s="9"/>
      <c r="BK238" s="9"/>
    </row>
    <row r="239" spans="1:75" x14ac:dyDescent="0.25">
      <c r="F239" s="2"/>
      <c r="H239" s="3"/>
      <c r="I239" s="3"/>
      <c r="J239" s="3"/>
      <c r="K239" s="92"/>
      <c r="AM239" s="46"/>
      <c r="BE239" s="9"/>
      <c r="BF239" s="9"/>
      <c r="BG239" s="9"/>
      <c r="BI239" s="9"/>
      <c r="BJ239" s="9"/>
      <c r="BK239" s="9"/>
    </row>
    <row r="240" spans="1:75" x14ac:dyDescent="0.25">
      <c r="A240" s="4"/>
      <c r="B240" s="4"/>
      <c r="C240" s="214"/>
      <c r="F240" s="2"/>
      <c r="H240" s="3"/>
      <c r="I240" s="3"/>
      <c r="J240" s="3"/>
      <c r="K240" s="92"/>
      <c r="AM240" s="46"/>
      <c r="BE240" s="9"/>
      <c r="BF240" s="9"/>
      <c r="BG240" s="9"/>
      <c r="BI240" s="9"/>
      <c r="BJ240" s="9"/>
      <c r="BK240" s="9"/>
      <c r="BL240" s="259"/>
      <c r="BW240" s="174"/>
    </row>
    <row r="241" spans="1:75" x14ac:dyDescent="0.25">
      <c r="A241" s="4"/>
      <c r="B241" s="4"/>
      <c r="C241" s="214"/>
      <c r="F241" s="2"/>
      <c r="H241" s="3"/>
      <c r="I241" s="3"/>
      <c r="J241" s="3"/>
      <c r="K241" s="92"/>
      <c r="AM241" s="46"/>
      <c r="BE241" s="9"/>
      <c r="BF241" s="9"/>
      <c r="BG241" s="9"/>
      <c r="BI241" s="9"/>
      <c r="BJ241" s="9"/>
      <c r="BK241" s="9"/>
      <c r="BL241" s="259"/>
      <c r="BW241" s="174"/>
    </row>
    <row r="242" spans="1:75" x14ac:dyDescent="0.25">
      <c r="A242" s="4"/>
      <c r="B242" s="4"/>
      <c r="C242" s="214"/>
      <c r="F242" s="2"/>
      <c r="H242" s="3"/>
      <c r="I242" s="3"/>
      <c r="J242" s="3"/>
      <c r="K242" s="92"/>
      <c r="AM242" s="46"/>
      <c r="BE242" s="9"/>
      <c r="BF242" s="9"/>
      <c r="BG242" s="9"/>
      <c r="BI242" s="9"/>
      <c r="BJ242" s="9"/>
      <c r="BK242" s="9"/>
    </row>
    <row r="243" spans="1:75" x14ac:dyDescent="0.25">
      <c r="A243" s="4"/>
      <c r="B243" s="4"/>
      <c r="C243" s="214"/>
      <c r="F243" s="2"/>
      <c r="H243" s="3"/>
      <c r="I243" s="3"/>
      <c r="J243" s="3"/>
      <c r="K243" s="92"/>
      <c r="AM243" s="46"/>
      <c r="BE243" s="9"/>
      <c r="BF243" s="9"/>
      <c r="BG243" s="9"/>
      <c r="BI243" s="9"/>
      <c r="BJ243" s="9"/>
      <c r="BK243" s="9"/>
    </row>
    <row r="244" spans="1:75" x14ac:dyDescent="0.25">
      <c r="A244" s="4"/>
      <c r="B244" s="4"/>
      <c r="C244" s="214"/>
      <c r="F244" s="2"/>
      <c r="H244" s="3"/>
      <c r="I244" s="3"/>
      <c r="J244" s="3"/>
      <c r="K244" s="92"/>
      <c r="AM244" s="46"/>
      <c r="BE244" s="9"/>
      <c r="BF244" s="9"/>
      <c r="BG244" s="9"/>
      <c r="BI244" s="9"/>
      <c r="BJ244" s="9"/>
      <c r="BK244" s="9"/>
    </row>
    <row r="245" spans="1:75" x14ac:dyDescent="0.25">
      <c r="A245" s="4"/>
      <c r="B245" s="4"/>
      <c r="C245" s="214"/>
      <c r="F245" s="2"/>
      <c r="H245" s="3"/>
      <c r="I245" s="3"/>
      <c r="J245" s="3"/>
      <c r="K245" s="92"/>
      <c r="AM245" s="46"/>
      <c r="BE245" s="9"/>
      <c r="BF245" s="9"/>
      <c r="BG245" s="9"/>
      <c r="BI245" s="9"/>
      <c r="BJ245" s="9"/>
      <c r="BK245" s="9"/>
    </row>
    <row r="246" spans="1:75" x14ac:dyDescent="0.25">
      <c r="A246" s="4"/>
      <c r="B246" s="4"/>
      <c r="C246" s="214"/>
      <c r="F246" s="2"/>
      <c r="H246" s="3"/>
      <c r="I246" s="3"/>
      <c r="J246" s="3"/>
      <c r="K246" s="92"/>
      <c r="AM246" s="46"/>
      <c r="BE246" s="9"/>
      <c r="BF246" s="9"/>
      <c r="BG246" s="9"/>
      <c r="BI246" s="9"/>
      <c r="BJ246" s="9"/>
      <c r="BK246" s="9"/>
    </row>
    <row r="247" spans="1:75" x14ac:dyDescent="0.25">
      <c r="F247" s="2"/>
      <c r="H247" s="3"/>
      <c r="I247" s="3"/>
      <c r="J247" s="3"/>
      <c r="K247" s="92"/>
      <c r="AM247" s="46"/>
      <c r="BE247" s="9"/>
      <c r="BF247" s="9"/>
      <c r="BG247" s="9"/>
      <c r="BI247" s="9"/>
      <c r="BJ247" s="9"/>
      <c r="BK247" s="9"/>
    </row>
    <row r="248" spans="1:75" x14ac:dyDescent="0.25">
      <c r="F248" s="2"/>
      <c r="H248" s="3"/>
      <c r="I248" s="3"/>
      <c r="J248" s="3"/>
      <c r="K248" s="92"/>
      <c r="AM248" s="46"/>
      <c r="BE248" s="9"/>
      <c r="BF248" s="9"/>
      <c r="BG248" s="9"/>
      <c r="BI248" s="9"/>
      <c r="BJ248" s="9"/>
      <c r="BK248" s="9"/>
    </row>
    <row r="249" spans="1:75" x14ac:dyDescent="0.25">
      <c r="F249" s="2"/>
      <c r="H249" s="3"/>
      <c r="I249" s="3"/>
      <c r="J249" s="3"/>
      <c r="K249" s="92"/>
      <c r="AM249" s="46"/>
      <c r="BE249" s="9"/>
      <c r="BF249" s="9"/>
      <c r="BG249" s="9"/>
      <c r="BI249" s="9"/>
      <c r="BJ249" s="9"/>
      <c r="BK249" s="9"/>
    </row>
    <row r="250" spans="1:75" x14ac:dyDescent="0.25">
      <c r="F250" s="2"/>
      <c r="H250" s="3"/>
      <c r="I250" s="3"/>
      <c r="J250" s="3"/>
      <c r="K250" s="92"/>
      <c r="AM250" s="46"/>
      <c r="BE250" s="9"/>
      <c r="BF250" s="9"/>
      <c r="BG250" s="9"/>
      <c r="BI250" s="9"/>
      <c r="BJ250" s="9"/>
      <c r="BK250" s="9"/>
    </row>
    <row r="251" spans="1:75" x14ac:dyDescent="0.25">
      <c r="F251" s="2"/>
      <c r="H251" s="3"/>
      <c r="I251" s="3"/>
      <c r="J251" s="3"/>
      <c r="K251" s="92"/>
      <c r="AM251" s="46"/>
      <c r="BE251" s="9"/>
      <c r="BF251" s="9"/>
      <c r="BG251" s="9"/>
      <c r="BI251" s="9"/>
      <c r="BJ251" s="9"/>
      <c r="BK251" s="9"/>
    </row>
    <row r="252" spans="1:75" x14ac:dyDescent="0.25">
      <c r="F252" s="2"/>
      <c r="H252" s="3"/>
      <c r="I252" s="3"/>
      <c r="J252" s="3"/>
      <c r="K252" s="92"/>
      <c r="AM252" s="46"/>
      <c r="BE252" s="9"/>
      <c r="BF252" s="9"/>
      <c r="BG252" s="9"/>
      <c r="BI252" s="9"/>
      <c r="BJ252" s="9"/>
      <c r="BK252" s="9"/>
    </row>
    <row r="253" spans="1:75" x14ac:dyDescent="0.25">
      <c r="F253" s="2"/>
      <c r="H253" s="3"/>
      <c r="I253" s="3"/>
      <c r="J253" s="3"/>
      <c r="K253" s="92"/>
      <c r="AM253" s="46"/>
      <c r="BE253" s="9"/>
      <c r="BF253" s="9"/>
      <c r="BG253" s="9"/>
      <c r="BI253" s="9"/>
      <c r="BJ253" s="9"/>
      <c r="BK253" s="9"/>
    </row>
    <row r="254" spans="1:75" x14ac:dyDescent="0.25">
      <c r="F254" s="2"/>
      <c r="H254" s="3"/>
      <c r="I254" s="3"/>
      <c r="J254" s="3"/>
      <c r="K254" s="92"/>
      <c r="AM254" s="46"/>
      <c r="BE254" s="9"/>
      <c r="BF254" s="9"/>
      <c r="BG254" s="9"/>
      <c r="BI254" s="9"/>
      <c r="BJ254" s="9"/>
      <c r="BK254" s="9"/>
    </row>
    <row r="255" spans="1:75" x14ac:dyDescent="0.25">
      <c r="F255" s="2"/>
      <c r="H255" s="3"/>
      <c r="I255" s="3"/>
      <c r="J255" s="3"/>
      <c r="K255" s="92"/>
      <c r="AM255" s="46"/>
      <c r="BE255" s="9"/>
      <c r="BF255" s="9"/>
      <c r="BG255" s="9"/>
      <c r="BI255" s="9"/>
      <c r="BJ255" s="9"/>
      <c r="BK255" s="9"/>
    </row>
    <row r="256" spans="1:75" x14ac:dyDescent="0.25">
      <c r="F256" s="2"/>
      <c r="H256" s="3"/>
      <c r="I256" s="3"/>
      <c r="J256" s="3"/>
      <c r="K256" s="92"/>
      <c r="AM256" s="46"/>
      <c r="BK256" s="9"/>
    </row>
    <row r="257" spans="4:63" x14ac:dyDescent="0.25">
      <c r="D257" s="70"/>
      <c r="E257" s="70"/>
      <c r="F257" s="1"/>
      <c r="G257" s="70"/>
      <c r="H257" s="1"/>
      <c r="I257" s="1"/>
      <c r="J257" s="1"/>
      <c r="K257" s="93"/>
      <c r="AM257" s="46"/>
      <c r="BK257" s="9"/>
    </row>
    <row r="258" spans="4:63" x14ac:dyDescent="0.25">
      <c r="D258" s="70"/>
      <c r="E258" s="70"/>
      <c r="F258" s="1"/>
      <c r="G258" s="70"/>
      <c r="H258" s="1"/>
      <c r="I258" s="1"/>
      <c r="J258" s="1"/>
      <c r="K258" s="93"/>
      <c r="AM258" s="46"/>
      <c r="BK258" s="9"/>
    </row>
    <row r="259" spans="4:63" x14ac:dyDescent="0.25">
      <c r="D259" s="70"/>
      <c r="E259" s="70"/>
      <c r="F259" s="1"/>
      <c r="G259" s="70"/>
      <c r="H259" s="1"/>
      <c r="I259" s="1"/>
      <c r="J259" s="1"/>
      <c r="K259" s="93"/>
      <c r="AM259" s="46"/>
      <c r="BK259" s="9"/>
    </row>
    <row r="260" spans="4:63" x14ac:dyDescent="0.25">
      <c r="D260" s="70"/>
      <c r="E260" s="70"/>
      <c r="F260" s="1"/>
      <c r="G260" s="70"/>
      <c r="H260" s="1"/>
      <c r="I260" s="1"/>
      <c r="J260" s="1"/>
      <c r="K260" s="93"/>
      <c r="AM260" s="46"/>
      <c r="BK260" s="9"/>
    </row>
    <row r="261" spans="4:63" x14ac:dyDescent="0.25">
      <c r="D261" s="70"/>
      <c r="E261" s="70"/>
      <c r="F261" s="1"/>
      <c r="G261" s="70"/>
      <c r="H261" s="1"/>
      <c r="I261" s="1"/>
      <c r="J261" s="1"/>
      <c r="K261" s="93"/>
      <c r="AM261" s="46"/>
      <c r="BK261" s="9"/>
    </row>
    <row r="262" spans="4:63" x14ac:dyDescent="0.25">
      <c r="D262" s="70"/>
      <c r="E262" s="70"/>
      <c r="F262" s="1"/>
      <c r="G262" s="70"/>
      <c r="H262" s="1"/>
      <c r="I262" s="1"/>
      <c r="J262" s="1"/>
      <c r="K262" s="93"/>
      <c r="AM262" s="46"/>
      <c r="BK262" s="9"/>
    </row>
    <row r="263" spans="4:63" x14ac:dyDescent="0.25">
      <c r="D263" s="70"/>
      <c r="E263" s="70"/>
      <c r="F263" s="1"/>
      <c r="G263" s="70"/>
      <c r="H263" s="1"/>
      <c r="I263" s="1"/>
      <c r="J263" s="1"/>
      <c r="K263" s="93"/>
      <c r="AM263" s="46"/>
      <c r="BK263" s="9"/>
    </row>
    <row r="264" spans="4:63" x14ac:dyDescent="0.25">
      <c r="D264" s="70"/>
      <c r="E264" s="70"/>
      <c r="F264" s="1"/>
      <c r="G264" s="70"/>
      <c r="H264" s="1"/>
      <c r="I264" s="1"/>
      <c r="J264" s="1"/>
      <c r="K264" s="93"/>
      <c r="AM264" s="46"/>
      <c r="BK264" s="9"/>
    </row>
    <row r="265" spans="4:63" x14ac:dyDescent="0.25">
      <c r="D265" s="70"/>
      <c r="E265" s="70"/>
      <c r="F265" s="1"/>
      <c r="G265" s="70"/>
      <c r="H265" s="1"/>
      <c r="I265" s="1"/>
      <c r="J265" s="1"/>
      <c r="K265" s="93"/>
      <c r="AM265" s="46"/>
      <c r="BK265" s="9"/>
    </row>
    <row r="266" spans="4:63" x14ac:dyDescent="0.25">
      <c r="D266" s="70"/>
      <c r="E266" s="70"/>
      <c r="F266" s="1"/>
      <c r="G266" s="70"/>
      <c r="H266" s="1"/>
      <c r="I266" s="1"/>
      <c r="J266" s="1"/>
      <c r="K266" s="93"/>
      <c r="AM266" s="46"/>
      <c r="BK266" s="9"/>
    </row>
    <row r="267" spans="4:63" x14ac:dyDescent="0.25">
      <c r="D267" s="70"/>
      <c r="E267" s="70"/>
      <c r="F267" s="1"/>
      <c r="G267" s="70"/>
      <c r="H267" s="1"/>
      <c r="I267" s="1"/>
      <c r="J267" s="1"/>
      <c r="K267" s="93"/>
      <c r="AM267" s="46"/>
      <c r="BK267" s="9"/>
    </row>
    <row r="268" spans="4:63" x14ac:dyDescent="0.25">
      <c r="D268" s="70"/>
      <c r="E268" s="70"/>
      <c r="F268" s="1"/>
      <c r="G268" s="70"/>
      <c r="H268" s="1"/>
      <c r="I268" s="1"/>
      <c r="J268" s="1"/>
      <c r="K268" s="93"/>
      <c r="AM268" s="46"/>
      <c r="BK268" s="9"/>
    </row>
    <row r="269" spans="4:63" x14ac:dyDescent="0.25">
      <c r="D269" s="70"/>
      <c r="E269" s="70"/>
      <c r="F269" s="1"/>
      <c r="G269" s="70"/>
      <c r="H269" s="1"/>
      <c r="I269" s="1"/>
      <c r="J269" s="1"/>
      <c r="K269" s="93"/>
      <c r="AM269" s="46"/>
      <c r="BK269" s="9"/>
    </row>
    <row r="270" spans="4:63" x14ac:dyDescent="0.25">
      <c r="D270" s="70"/>
      <c r="E270" s="70"/>
      <c r="F270" s="1"/>
      <c r="G270" s="70"/>
      <c r="H270" s="1"/>
      <c r="I270" s="1"/>
      <c r="J270" s="1"/>
      <c r="K270" s="93"/>
      <c r="AM270" s="46"/>
      <c r="BK270" s="9"/>
    </row>
    <row r="271" spans="4:63" x14ac:dyDescent="0.25">
      <c r="D271" s="70"/>
      <c r="E271" s="70"/>
      <c r="F271" s="1"/>
      <c r="G271" s="70"/>
      <c r="H271" s="1"/>
      <c r="I271" s="1"/>
      <c r="J271" s="1"/>
      <c r="K271" s="93"/>
      <c r="AM271" s="46"/>
      <c r="BK271" s="9"/>
    </row>
    <row r="272" spans="4:63" x14ac:dyDescent="0.25">
      <c r="D272" s="70"/>
      <c r="E272" s="70"/>
      <c r="F272" s="1"/>
      <c r="G272" s="70"/>
      <c r="H272" s="1"/>
      <c r="I272" s="1"/>
      <c r="J272" s="1"/>
      <c r="K272" s="93"/>
      <c r="AM272" s="46"/>
      <c r="BK272" s="9"/>
    </row>
    <row r="273" spans="4:63" x14ac:dyDescent="0.25">
      <c r="D273" s="70"/>
      <c r="E273" s="70"/>
      <c r="F273" s="1"/>
      <c r="G273" s="70"/>
      <c r="H273" s="1"/>
      <c r="I273" s="1"/>
      <c r="J273" s="1"/>
      <c r="K273" s="93"/>
      <c r="AM273" s="46"/>
      <c r="BK273" s="9"/>
    </row>
    <row r="274" spans="4:63" x14ac:dyDescent="0.25">
      <c r="D274" s="70"/>
      <c r="E274" s="70"/>
      <c r="F274" s="1"/>
      <c r="G274" s="70"/>
      <c r="H274" s="1"/>
      <c r="I274" s="1"/>
      <c r="J274" s="1"/>
      <c r="K274" s="93"/>
      <c r="AM274" s="46"/>
      <c r="BK274" s="9"/>
    </row>
    <row r="275" spans="4:63" x14ac:dyDescent="0.25">
      <c r="D275" s="70"/>
      <c r="E275" s="70"/>
      <c r="F275" s="1"/>
      <c r="G275" s="70"/>
      <c r="H275" s="1"/>
      <c r="I275" s="1"/>
      <c r="J275" s="1"/>
      <c r="K275" s="93"/>
      <c r="AM275" s="46"/>
      <c r="BK275" s="9"/>
    </row>
    <row r="276" spans="4:63" x14ac:dyDescent="0.25">
      <c r="D276" s="70"/>
      <c r="E276" s="70"/>
      <c r="F276" s="1"/>
      <c r="G276" s="70"/>
      <c r="H276" s="1"/>
      <c r="I276" s="1"/>
      <c r="J276" s="1"/>
      <c r="K276" s="93"/>
      <c r="AM276" s="46"/>
      <c r="BK276" s="9"/>
    </row>
    <row r="277" spans="4:63" x14ac:dyDescent="0.25">
      <c r="D277" s="70"/>
      <c r="E277" s="70"/>
      <c r="F277" s="1"/>
      <c r="G277" s="70"/>
      <c r="H277" s="1"/>
      <c r="I277" s="1"/>
      <c r="J277" s="1"/>
      <c r="K277" s="93"/>
      <c r="AM277" s="46"/>
      <c r="BK277" s="9"/>
    </row>
    <row r="278" spans="4:63" x14ac:dyDescent="0.25">
      <c r="D278" s="70"/>
      <c r="E278" s="70"/>
      <c r="F278" s="1"/>
      <c r="G278" s="70"/>
      <c r="H278" s="1"/>
      <c r="I278" s="1"/>
      <c r="J278" s="1"/>
      <c r="K278" s="93"/>
      <c r="AM278" s="46"/>
      <c r="BK278" s="9"/>
    </row>
    <row r="279" spans="4:63" x14ac:dyDescent="0.25">
      <c r="D279" s="70"/>
      <c r="E279" s="70"/>
      <c r="F279" s="1"/>
      <c r="G279" s="70"/>
      <c r="H279" s="1"/>
      <c r="I279" s="1"/>
      <c r="J279" s="1"/>
      <c r="K279" s="93"/>
      <c r="AM279" s="46"/>
      <c r="BK279" s="9"/>
    </row>
    <row r="280" spans="4:63" x14ac:dyDescent="0.25">
      <c r="D280" s="70"/>
      <c r="E280" s="70"/>
      <c r="F280" s="1"/>
      <c r="G280" s="70"/>
      <c r="H280" s="1"/>
      <c r="I280" s="1"/>
      <c r="J280" s="1"/>
      <c r="K280" s="93"/>
      <c r="AM280" s="46"/>
      <c r="BK280" s="9"/>
    </row>
    <row r="281" spans="4:63" x14ac:dyDescent="0.25">
      <c r="D281" s="70"/>
      <c r="E281" s="70"/>
      <c r="F281" s="1"/>
      <c r="G281" s="70"/>
      <c r="H281" s="1"/>
      <c r="I281" s="1"/>
      <c r="J281" s="1"/>
      <c r="K281" s="93"/>
      <c r="AM281" s="46"/>
      <c r="BK281" s="9"/>
    </row>
    <row r="282" spans="4:63" x14ac:dyDescent="0.25">
      <c r="D282" s="70"/>
      <c r="E282" s="70"/>
      <c r="F282" s="1"/>
      <c r="G282" s="70"/>
      <c r="H282" s="1"/>
      <c r="I282" s="1"/>
      <c r="J282" s="1"/>
      <c r="K282" s="93"/>
      <c r="AM282" s="46"/>
      <c r="BK282" s="9"/>
    </row>
    <row r="283" spans="4:63" x14ac:dyDescent="0.25">
      <c r="D283" s="70"/>
      <c r="E283" s="70"/>
      <c r="F283" s="1"/>
      <c r="G283" s="70"/>
      <c r="H283" s="1"/>
      <c r="I283" s="1"/>
      <c r="J283" s="1"/>
      <c r="K283" s="93"/>
      <c r="AM283" s="46"/>
      <c r="BK283" s="9"/>
    </row>
    <row r="284" spans="4:63" x14ac:dyDescent="0.25">
      <c r="D284" s="70"/>
      <c r="E284" s="70"/>
      <c r="F284" s="1"/>
      <c r="G284" s="70"/>
      <c r="H284" s="1"/>
      <c r="I284" s="1"/>
      <c r="J284" s="1"/>
      <c r="K284" s="93"/>
      <c r="AM284" s="46"/>
      <c r="BK284" s="9"/>
    </row>
    <row r="285" spans="4:63" x14ac:dyDescent="0.25">
      <c r="D285" s="70"/>
      <c r="E285" s="70"/>
      <c r="F285" s="1"/>
      <c r="G285" s="70"/>
      <c r="H285" s="1"/>
      <c r="I285" s="1"/>
      <c r="J285" s="1"/>
      <c r="K285" s="93"/>
      <c r="AM285" s="46"/>
      <c r="BK285" s="9"/>
    </row>
    <row r="286" spans="4:63" x14ac:dyDescent="0.25">
      <c r="D286" s="70"/>
      <c r="E286" s="70"/>
      <c r="F286" s="1"/>
      <c r="G286" s="70"/>
      <c r="H286" s="1"/>
      <c r="I286" s="1"/>
      <c r="J286" s="1"/>
      <c r="K286" s="93"/>
      <c r="AM286" s="46"/>
      <c r="BK286" s="9"/>
    </row>
    <row r="287" spans="4:63" x14ac:dyDescent="0.25">
      <c r="D287" s="70"/>
      <c r="E287" s="70"/>
      <c r="F287" s="1"/>
      <c r="G287" s="70"/>
      <c r="H287" s="1"/>
      <c r="I287" s="1"/>
      <c r="J287" s="1"/>
      <c r="K287" s="93"/>
      <c r="AM287" s="46"/>
      <c r="BK287" s="9"/>
    </row>
    <row r="288" spans="4:63" x14ac:dyDescent="0.25">
      <c r="D288" s="70"/>
      <c r="E288" s="70"/>
      <c r="F288" s="1"/>
      <c r="G288" s="70"/>
      <c r="H288" s="1"/>
      <c r="I288" s="1"/>
      <c r="J288" s="1"/>
      <c r="K288" s="93"/>
      <c r="AM288" s="46"/>
      <c r="BK288" s="9"/>
    </row>
    <row r="289" spans="4:63" x14ac:dyDescent="0.25">
      <c r="D289" s="70"/>
      <c r="E289" s="70"/>
      <c r="F289" s="1"/>
      <c r="G289" s="70"/>
      <c r="H289" s="1"/>
      <c r="I289" s="1"/>
      <c r="J289" s="1"/>
      <c r="K289" s="93"/>
      <c r="AM289" s="46"/>
      <c r="BK289" s="9"/>
    </row>
    <row r="290" spans="4:63" x14ac:dyDescent="0.25">
      <c r="D290" s="70"/>
      <c r="E290" s="70"/>
      <c r="F290" s="1"/>
      <c r="G290" s="70"/>
      <c r="H290" s="1"/>
      <c r="I290" s="1"/>
      <c r="J290" s="1"/>
      <c r="K290" s="93"/>
      <c r="AM290" s="46"/>
      <c r="BK290" s="9"/>
    </row>
    <row r="291" spans="4:63" x14ac:dyDescent="0.25">
      <c r="D291" s="70"/>
      <c r="E291" s="70"/>
      <c r="F291" s="1"/>
      <c r="G291" s="70"/>
      <c r="H291" s="1"/>
      <c r="I291" s="1"/>
      <c r="J291" s="1"/>
      <c r="K291" s="93"/>
      <c r="AM291" s="46"/>
      <c r="BK291" s="9"/>
    </row>
    <row r="292" spans="4:63" x14ac:dyDescent="0.25">
      <c r="D292" s="70"/>
      <c r="E292" s="70"/>
      <c r="F292" s="1"/>
      <c r="G292" s="70"/>
      <c r="H292" s="1"/>
      <c r="I292" s="1"/>
      <c r="J292" s="1"/>
      <c r="K292" s="93"/>
      <c r="AM292" s="46"/>
      <c r="BK292" s="9"/>
    </row>
    <row r="293" spans="4:63" x14ac:dyDescent="0.25">
      <c r="D293" s="70"/>
      <c r="E293" s="70"/>
      <c r="F293" s="1"/>
      <c r="G293" s="70"/>
      <c r="H293" s="1"/>
      <c r="I293" s="1"/>
      <c r="J293" s="1"/>
      <c r="K293" s="93"/>
      <c r="AM293" s="46"/>
      <c r="BK293" s="9"/>
    </row>
    <row r="294" spans="4:63" x14ac:dyDescent="0.25">
      <c r="D294" s="70"/>
      <c r="E294" s="70"/>
      <c r="F294" s="1"/>
      <c r="G294" s="70"/>
      <c r="H294" s="1"/>
      <c r="I294" s="1"/>
      <c r="J294" s="1"/>
      <c r="K294" s="93"/>
      <c r="AM294" s="46"/>
      <c r="BK294" s="9"/>
    </row>
    <row r="295" spans="4:63" x14ac:dyDescent="0.25">
      <c r="D295" s="70"/>
      <c r="E295" s="70"/>
      <c r="F295" s="1"/>
      <c r="G295" s="70"/>
      <c r="H295" s="1"/>
      <c r="I295" s="1"/>
      <c r="J295" s="1"/>
      <c r="K295" s="93"/>
      <c r="AM295" s="46"/>
      <c r="BK295" s="9"/>
    </row>
    <row r="296" spans="4:63" x14ac:dyDescent="0.25">
      <c r="D296" s="70"/>
      <c r="E296" s="70"/>
      <c r="F296" s="1"/>
      <c r="G296" s="70"/>
      <c r="H296" s="1"/>
      <c r="I296" s="1"/>
      <c r="J296" s="1"/>
      <c r="K296" s="93"/>
      <c r="AM296" s="46"/>
      <c r="BK296" s="9"/>
    </row>
    <row r="297" spans="4:63" x14ac:dyDescent="0.25">
      <c r="D297" s="70"/>
      <c r="E297" s="70"/>
      <c r="F297" s="1"/>
      <c r="G297" s="70"/>
      <c r="H297" s="1"/>
      <c r="I297" s="1"/>
      <c r="J297" s="1"/>
      <c r="K297" s="93"/>
      <c r="AM297" s="46"/>
      <c r="BK297" s="9"/>
    </row>
    <row r="298" spans="4:63" x14ac:dyDescent="0.25">
      <c r="D298" s="70"/>
      <c r="E298" s="70"/>
      <c r="F298" s="1"/>
      <c r="G298" s="70"/>
      <c r="H298" s="1"/>
      <c r="I298" s="1"/>
      <c r="J298" s="1"/>
      <c r="K298" s="93"/>
      <c r="AM298" s="46"/>
      <c r="BK298" s="9"/>
    </row>
    <row r="299" spans="4:63" x14ac:dyDescent="0.25">
      <c r="D299" s="70"/>
      <c r="E299" s="70"/>
      <c r="F299" s="1"/>
      <c r="G299" s="70"/>
      <c r="H299" s="1"/>
      <c r="I299" s="1"/>
      <c r="J299" s="1"/>
      <c r="K299" s="93"/>
      <c r="AM299" s="46"/>
      <c r="BK299" s="9"/>
    </row>
    <row r="300" spans="4:63" x14ac:dyDescent="0.25">
      <c r="D300" s="70"/>
      <c r="E300" s="70"/>
      <c r="F300" s="1"/>
      <c r="G300" s="70"/>
      <c r="H300" s="1"/>
      <c r="I300" s="1"/>
      <c r="J300" s="1"/>
      <c r="K300" s="93"/>
      <c r="AM300" s="46"/>
      <c r="BK300" s="9"/>
    </row>
    <row r="301" spans="4:63" x14ac:dyDescent="0.25">
      <c r="D301" s="70"/>
      <c r="E301" s="70"/>
      <c r="F301" s="1"/>
      <c r="G301" s="70"/>
      <c r="H301" s="1"/>
      <c r="I301" s="1"/>
      <c r="J301" s="1"/>
      <c r="K301" s="93"/>
      <c r="AM301" s="46"/>
      <c r="BK301" s="9"/>
    </row>
    <row r="302" spans="4:63" x14ac:dyDescent="0.25">
      <c r="D302" s="70"/>
      <c r="E302" s="70"/>
      <c r="F302" s="1"/>
      <c r="G302" s="70"/>
      <c r="H302" s="1"/>
      <c r="I302" s="1"/>
      <c r="J302" s="1"/>
      <c r="K302" s="93"/>
      <c r="AM302" s="46"/>
      <c r="BK302" s="9"/>
    </row>
    <row r="303" spans="4:63" x14ac:dyDescent="0.25">
      <c r="D303" s="70"/>
      <c r="E303" s="70"/>
      <c r="F303" s="1"/>
      <c r="G303" s="70"/>
      <c r="H303" s="1"/>
      <c r="I303" s="1"/>
      <c r="J303" s="1"/>
      <c r="K303" s="93"/>
      <c r="AM303" s="46"/>
      <c r="BK303" s="9"/>
    </row>
    <row r="304" spans="4:63" x14ac:dyDescent="0.25">
      <c r="D304" s="70"/>
      <c r="E304" s="70"/>
      <c r="F304" s="1"/>
      <c r="G304" s="70"/>
      <c r="H304" s="1"/>
      <c r="I304" s="1"/>
      <c r="J304" s="1"/>
      <c r="K304" s="93"/>
      <c r="AM304" s="46"/>
      <c r="BK304" s="9"/>
    </row>
    <row r="305" spans="4:63" x14ac:dyDescent="0.25">
      <c r="D305" s="70"/>
      <c r="E305" s="70"/>
      <c r="F305" s="1"/>
      <c r="G305" s="70"/>
      <c r="H305" s="1"/>
      <c r="I305" s="1"/>
      <c r="J305" s="1"/>
      <c r="K305" s="93"/>
      <c r="AM305" s="46"/>
      <c r="BK305" s="9"/>
    </row>
    <row r="306" spans="4:63" x14ac:dyDescent="0.25">
      <c r="D306" s="70"/>
      <c r="E306" s="70"/>
      <c r="F306" s="1"/>
      <c r="G306" s="70"/>
      <c r="H306" s="1"/>
      <c r="I306" s="1"/>
      <c r="J306" s="1"/>
      <c r="K306" s="93"/>
      <c r="AM306" s="46"/>
      <c r="BK306" s="9"/>
    </row>
    <row r="307" spans="4:63" x14ac:dyDescent="0.25">
      <c r="D307" s="70"/>
      <c r="E307" s="70"/>
      <c r="F307" s="1"/>
      <c r="G307" s="70"/>
      <c r="H307" s="1"/>
      <c r="I307" s="1"/>
      <c r="J307" s="1"/>
      <c r="K307" s="93"/>
      <c r="AM307" s="46"/>
      <c r="BK307" s="9"/>
    </row>
    <row r="308" spans="4:63" x14ac:dyDescent="0.25">
      <c r="D308" s="70"/>
      <c r="E308" s="70"/>
      <c r="F308" s="1"/>
      <c r="G308" s="70"/>
      <c r="H308" s="1"/>
      <c r="I308" s="1"/>
      <c r="J308" s="1"/>
      <c r="K308" s="93"/>
      <c r="AM308" s="46"/>
      <c r="BK308" s="9"/>
    </row>
    <row r="309" spans="4:63" x14ac:dyDescent="0.25">
      <c r="D309" s="70"/>
      <c r="E309" s="70"/>
      <c r="F309" s="1"/>
      <c r="G309" s="70"/>
      <c r="H309" s="1"/>
      <c r="I309" s="1"/>
      <c r="J309" s="1"/>
      <c r="K309" s="93"/>
      <c r="AM309" s="46"/>
      <c r="BK309" s="9"/>
    </row>
    <row r="310" spans="4:63" x14ac:dyDescent="0.25">
      <c r="D310" s="70"/>
      <c r="E310" s="70"/>
      <c r="F310" s="1"/>
      <c r="G310" s="70"/>
      <c r="H310" s="1"/>
      <c r="I310" s="1"/>
      <c r="J310" s="1"/>
      <c r="K310" s="93"/>
      <c r="AM310" s="46"/>
      <c r="BK310" s="9"/>
    </row>
    <row r="311" spans="4:63" x14ac:dyDescent="0.25">
      <c r="D311" s="70"/>
      <c r="E311" s="70"/>
      <c r="F311" s="1"/>
      <c r="G311" s="70"/>
      <c r="H311" s="1"/>
      <c r="I311" s="1"/>
      <c r="J311" s="1"/>
      <c r="K311" s="93"/>
      <c r="AM311" s="46"/>
      <c r="BK311" s="9"/>
    </row>
    <row r="312" spans="4:63" x14ac:dyDescent="0.25">
      <c r="D312" s="70"/>
      <c r="E312" s="70"/>
      <c r="F312" s="1"/>
      <c r="G312" s="70"/>
      <c r="H312" s="1"/>
      <c r="I312" s="1"/>
      <c r="J312" s="1"/>
      <c r="K312" s="93"/>
      <c r="AM312" s="46"/>
      <c r="BK312" s="9"/>
    </row>
    <row r="313" spans="4:63" x14ac:dyDescent="0.25">
      <c r="D313" s="70"/>
      <c r="E313" s="70"/>
      <c r="F313" s="1"/>
      <c r="G313" s="70"/>
      <c r="H313" s="1"/>
      <c r="I313" s="1"/>
      <c r="J313" s="1"/>
      <c r="K313" s="93"/>
      <c r="AM313" s="46"/>
      <c r="BK313" s="9"/>
    </row>
    <row r="314" spans="4:63" x14ac:dyDescent="0.25">
      <c r="D314" s="70"/>
      <c r="E314" s="70"/>
      <c r="F314" s="1"/>
      <c r="G314" s="70"/>
      <c r="H314" s="1"/>
      <c r="I314" s="1"/>
      <c r="J314" s="1"/>
      <c r="K314" s="93"/>
      <c r="AM314" s="46"/>
      <c r="BK314" s="9"/>
    </row>
    <row r="315" spans="4:63" x14ac:dyDescent="0.25">
      <c r="D315" s="70"/>
      <c r="E315" s="70"/>
      <c r="F315" s="1"/>
      <c r="G315" s="70"/>
      <c r="H315" s="1"/>
      <c r="I315" s="1"/>
      <c r="J315" s="1"/>
      <c r="K315" s="93"/>
      <c r="AM315" s="46"/>
      <c r="BK315" s="9"/>
    </row>
    <row r="316" spans="4:63" x14ac:dyDescent="0.25">
      <c r="D316" s="70"/>
      <c r="E316" s="70"/>
      <c r="F316" s="1"/>
      <c r="G316" s="70"/>
      <c r="H316" s="1"/>
      <c r="I316" s="1"/>
      <c r="J316" s="1"/>
      <c r="K316" s="93"/>
      <c r="AM316" s="46"/>
      <c r="BK316" s="9"/>
    </row>
    <row r="317" spans="4:63" x14ac:dyDescent="0.25">
      <c r="D317" s="70"/>
      <c r="E317" s="70"/>
      <c r="F317" s="1"/>
      <c r="G317" s="70"/>
      <c r="H317" s="1"/>
      <c r="I317" s="1"/>
      <c r="J317" s="1"/>
      <c r="K317" s="93"/>
      <c r="AM317" s="46"/>
      <c r="BK317" s="9"/>
    </row>
    <row r="318" spans="4:63" x14ac:dyDescent="0.25">
      <c r="D318" s="70"/>
      <c r="E318" s="70"/>
      <c r="F318" s="1"/>
      <c r="G318" s="70"/>
      <c r="H318" s="1"/>
      <c r="I318" s="1"/>
      <c r="J318" s="1"/>
      <c r="K318" s="93"/>
      <c r="AM318" s="46"/>
      <c r="BK318" s="9"/>
    </row>
    <row r="319" spans="4:63" x14ac:dyDescent="0.25">
      <c r="D319" s="70"/>
      <c r="E319" s="70"/>
      <c r="F319" s="1"/>
      <c r="G319" s="70"/>
      <c r="H319" s="1"/>
      <c r="I319" s="1"/>
      <c r="J319" s="1"/>
      <c r="K319" s="93"/>
      <c r="AM319" s="46"/>
      <c r="BK319" s="9"/>
    </row>
    <row r="320" spans="4:63" x14ac:dyDescent="0.25">
      <c r="D320" s="70"/>
      <c r="E320" s="70"/>
      <c r="F320" s="1"/>
      <c r="G320" s="70"/>
      <c r="H320" s="1"/>
      <c r="I320" s="1"/>
      <c r="J320" s="1"/>
      <c r="K320" s="93"/>
      <c r="AM320" s="46"/>
      <c r="BK320" s="9"/>
    </row>
    <row r="321" spans="4:63" x14ac:dyDescent="0.25">
      <c r="D321" s="70"/>
      <c r="E321" s="70"/>
      <c r="F321" s="1"/>
      <c r="G321" s="70"/>
      <c r="H321" s="1"/>
      <c r="I321" s="1"/>
      <c r="J321" s="1"/>
      <c r="K321" s="93"/>
      <c r="AM321" s="46"/>
      <c r="BK321" s="9"/>
    </row>
    <row r="322" spans="4:63" x14ac:dyDescent="0.25">
      <c r="D322" s="70"/>
      <c r="E322" s="70"/>
      <c r="F322" s="1"/>
      <c r="G322" s="70"/>
      <c r="H322" s="1"/>
      <c r="I322" s="1"/>
      <c r="J322" s="1"/>
      <c r="K322" s="93"/>
      <c r="AM322" s="46"/>
      <c r="BK322" s="9"/>
    </row>
    <row r="323" spans="4:63" x14ac:dyDescent="0.25">
      <c r="D323" s="70"/>
      <c r="E323" s="70"/>
      <c r="F323" s="1"/>
      <c r="G323" s="70"/>
      <c r="H323" s="1"/>
      <c r="I323" s="1"/>
      <c r="J323" s="1"/>
      <c r="K323" s="93"/>
      <c r="AM323" s="46"/>
      <c r="BK323" s="9"/>
    </row>
    <row r="324" spans="4:63" x14ac:dyDescent="0.25">
      <c r="D324" s="70"/>
      <c r="E324" s="70"/>
      <c r="F324" s="1"/>
      <c r="G324" s="70"/>
      <c r="H324" s="1"/>
      <c r="I324" s="1"/>
      <c r="J324" s="1"/>
      <c r="K324" s="93"/>
      <c r="AM324" s="46"/>
      <c r="BK324" s="9"/>
    </row>
    <row r="325" spans="4:63" x14ac:dyDescent="0.25">
      <c r="D325" s="70"/>
      <c r="E325" s="70"/>
      <c r="F325" s="1"/>
      <c r="G325" s="70"/>
      <c r="H325" s="1"/>
      <c r="I325" s="1"/>
      <c r="J325" s="1"/>
      <c r="K325" s="93"/>
      <c r="AM325" s="46"/>
      <c r="BK325" s="9"/>
    </row>
    <row r="326" spans="4:63" x14ac:dyDescent="0.25">
      <c r="D326" s="70"/>
      <c r="E326" s="70"/>
      <c r="F326" s="1"/>
      <c r="G326" s="70"/>
      <c r="H326" s="1"/>
      <c r="I326" s="1"/>
      <c r="J326" s="1"/>
      <c r="K326" s="93"/>
      <c r="AM326" s="46"/>
      <c r="BK326" s="9"/>
    </row>
    <row r="327" spans="4:63" x14ac:dyDescent="0.25">
      <c r="D327" s="70"/>
      <c r="E327" s="70"/>
      <c r="F327" s="1"/>
      <c r="G327" s="70"/>
      <c r="H327" s="1"/>
      <c r="I327" s="1"/>
      <c r="J327" s="1"/>
      <c r="K327" s="93"/>
      <c r="AM327" s="46"/>
      <c r="BK327" s="9"/>
    </row>
    <row r="328" spans="4:63" x14ac:dyDescent="0.25">
      <c r="D328" s="70"/>
      <c r="E328" s="70"/>
      <c r="F328" s="1"/>
      <c r="G328" s="70"/>
      <c r="H328" s="1"/>
      <c r="I328" s="1"/>
      <c r="J328" s="1"/>
      <c r="K328" s="93"/>
      <c r="AM328" s="46"/>
      <c r="BK328" s="9"/>
    </row>
    <row r="329" spans="4:63" x14ac:dyDescent="0.25">
      <c r="D329" s="70"/>
      <c r="E329" s="70"/>
      <c r="F329" s="1"/>
      <c r="G329" s="70"/>
      <c r="H329" s="1"/>
      <c r="I329" s="1"/>
      <c r="J329" s="1"/>
      <c r="K329" s="93"/>
      <c r="AM329" s="46"/>
      <c r="BK329" s="9"/>
    </row>
    <row r="330" spans="4:63" x14ac:dyDescent="0.25">
      <c r="D330" s="70"/>
      <c r="E330" s="70"/>
      <c r="F330" s="1"/>
      <c r="G330" s="70"/>
      <c r="H330" s="1"/>
      <c r="I330" s="1"/>
      <c r="J330" s="1"/>
      <c r="K330" s="93"/>
      <c r="AM330" s="46"/>
      <c r="BK330" s="9"/>
    </row>
    <row r="331" spans="4:63" x14ac:dyDescent="0.25">
      <c r="D331" s="70"/>
      <c r="E331" s="70"/>
      <c r="F331" s="1"/>
      <c r="G331" s="70"/>
      <c r="H331" s="1"/>
      <c r="I331" s="1"/>
      <c r="J331" s="1"/>
      <c r="K331" s="93"/>
      <c r="AM331" s="46"/>
      <c r="BK331" s="9"/>
    </row>
    <row r="332" spans="4:63" x14ac:dyDescent="0.25">
      <c r="D332" s="70"/>
      <c r="E332" s="70"/>
      <c r="F332" s="1"/>
      <c r="G332" s="70"/>
      <c r="H332" s="1"/>
      <c r="I332" s="1"/>
      <c r="J332" s="1"/>
      <c r="K332" s="93"/>
      <c r="AM332" s="46"/>
      <c r="BK332" s="9"/>
    </row>
    <row r="333" spans="4:63" x14ac:dyDescent="0.25">
      <c r="D333" s="70"/>
      <c r="E333" s="70"/>
      <c r="F333" s="1"/>
      <c r="G333" s="70"/>
      <c r="H333" s="1"/>
      <c r="I333" s="1"/>
      <c r="J333" s="1"/>
      <c r="K333" s="93"/>
      <c r="AM333" s="46"/>
      <c r="BK333" s="9"/>
    </row>
    <row r="334" spans="4:63" x14ac:dyDescent="0.25">
      <c r="D334" s="70"/>
      <c r="E334" s="70"/>
      <c r="F334" s="1"/>
      <c r="G334" s="70"/>
      <c r="H334" s="1"/>
      <c r="I334" s="1"/>
      <c r="J334" s="1"/>
      <c r="K334" s="93"/>
      <c r="AM334" s="46"/>
      <c r="BK334" s="9"/>
    </row>
    <row r="335" spans="4:63" x14ac:dyDescent="0.25">
      <c r="D335" s="70"/>
      <c r="E335" s="70"/>
      <c r="F335" s="1"/>
      <c r="G335" s="70"/>
      <c r="H335" s="1"/>
      <c r="I335" s="1"/>
      <c r="J335" s="1"/>
      <c r="K335" s="93"/>
      <c r="AM335" s="46"/>
      <c r="BK335" s="9"/>
    </row>
    <row r="336" spans="4:63" x14ac:dyDescent="0.25">
      <c r="D336" s="70"/>
      <c r="E336" s="70"/>
      <c r="F336" s="1"/>
      <c r="G336" s="70"/>
      <c r="H336" s="1"/>
      <c r="I336" s="1"/>
      <c r="J336" s="1"/>
      <c r="K336" s="93"/>
      <c r="AM336" s="46"/>
      <c r="BK336" s="9"/>
    </row>
    <row r="337" spans="1:63" x14ac:dyDescent="0.25">
      <c r="D337" s="70"/>
      <c r="E337" s="70"/>
      <c r="F337" s="1"/>
      <c r="G337" s="70"/>
      <c r="H337" s="1"/>
      <c r="I337" s="1"/>
      <c r="J337" s="1"/>
      <c r="K337" s="93"/>
      <c r="AM337" s="46"/>
      <c r="BK337" s="9"/>
    </row>
    <row r="338" spans="1:63" x14ac:dyDescent="0.25">
      <c r="D338" s="70"/>
      <c r="E338" s="70"/>
      <c r="F338" s="1"/>
      <c r="G338" s="70"/>
      <c r="H338" s="1"/>
      <c r="I338" s="1"/>
      <c r="J338" s="1"/>
      <c r="K338" s="93"/>
      <c r="AM338" s="46"/>
      <c r="BK338" s="9"/>
    </row>
    <row r="339" spans="1:63" x14ac:dyDescent="0.25">
      <c r="D339" s="70"/>
      <c r="E339" s="70"/>
      <c r="F339" s="1"/>
      <c r="G339" s="70"/>
      <c r="H339" s="1"/>
      <c r="I339" s="1"/>
      <c r="J339" s="1"/>
      <c r="K339" s="93"/>
      <c r="AM339" s="46"/>
      <c r="BK339" s="9"/>
    </row>
    <row r="340" spans="1:63" x14ac:dyDescent="0.25">
      <c r="D340" s="70"/>
      <c r="E340" s="70"/>
      <c r="F340" s="1"/>
      <c r="G340" s="70"/>
      <c r="H340" s="1"/>
      <c r="I340" s="1"/>
      <c r="J340" s="1"/>
      <c r="K340" s="93"/>
      <c r="AM340" s="46"/>
      <c r="BK340" s="9"/>
    </row>
    <row r="341" spans="1:63" x14ac:dyDescent="0.25">
      <c r="D341" s="70"/>
      <c r="E341" s="70"/>
      <c r="F341" s="1"/>
      <c r="G341" s="70"/>
      <c r="H341" s="1"/>
      <c r="I341" s="1"/>
      <c r="J341" s="1"/>
      <c r="K341" s="93"/>
      <c r="AM341" s="46"/>
      <c r="BK341" s="9"/>
    </row>
    <row r="342" spans="1:63" x14ac:dyDescent="0.25">
      <c r="D342" s="70"/>
      <c r="E342" s="70"/>
      <c r="F342" s="1"/>
      <c r="G342" s="70"/>
      <c r="H342" s="1"/>
      <c r="I342" s="1"/>
      <c r="J342" s="1"/>
      <c r="K342" s="93"/>
      <c r="AM342" s="46"/>
      <c r="BK342" s="9"/>
    </row>
    <row r="343" spans="1:63" x14ac:dyDescent="0.25">
      <c r="D343" s="70"/>
      <c r="E343" s="70"/>
      <c r="F343" s="1"/>
      <c r="G343" s="70"/>
      <c r="H343" s="1"/>
      <c r="I343" s="1"/>
      <c r="J343" s="1"/>
      <c r="K343" s="93"/>
      <c r="AM343" s="46"/>
      <c r="BE343" s="9"/>
      <c r="BF343" s="9"/>
      <c r="BG343" s="9"/>
      <c r="BI343" s="9"/>
      <c r="BJ343" s="9"/>
      <c r="BK343" s="9"/>
    </row>
    <row r="344" spans="1:63" x14ac:dyDescent="0.25">
      <c r="D344" s="70"/>
      <c r="E344" s="70"/>
      <c r="F344" s="1"/>
      <c r="G344" s="70"/>
      <c r="H344" s="1"/>
      <c r="I344" s="1"/>
      <c r="J344" s="1"/>
      <c r="K344" s="93"/>
      <c r="AM344" s="46"/>
      <c r="BK344" s="9"/>
    </row>
    <row r="345" spans="1:63" x14ac:dyDescent="0.25">
      <c r="A345" s="4"/>
      <c r="B345" s="4"/>
      <c r="C345" s="214"/>
      <c r="D345" s="70"/>
      <c r="E345" s="70"/>
      <c r="F345" s="1"/>
      <c r="G345" s="70"/>
      <c r="H345" s="1"/>
      <c r="I345" s="1"/>
      <c r="J345" s="1"/>
      <c r="K345" s="93"/>
      <c r="AM345" s="46"/>
      <c r="BK345" s="9"/>
    </row>
    <row r="346" spans="1:63" x14ac:dyDescent="0.25">
      <c r="A346" s="4"/>
      <c r="B346" s="4"/>
      <c r="C346" s="214"/>
      <c r="D346" s="70"/>
      <c r="E346" s="70"/>
      <c r="F346" s="1"/>
      <c r="G346" s="70"/>
      <c r="H346" s="1"/>
      <c r="I346" s="1"/>
      <c r="J346" s="1"/>
      <c r="K346" s="93"/>
      <c r="AM346" s="46"/>
      <c r="BK346" s="9"/>
    </row>
    <row r="347" spans="1:63" x14ac:dyDescent="0.25">
      <c r="A347" s="1"/>
      <c r="B347" s="1"/>
      <c r="C347" s="215"/>
      <c r="D347" s="70"/>
      <c r="E347" s="70"/>
      <c r="F347" s="1"/>
      <c r="G347" s="70"/>
      <c r="H347" s="1"/>
      <c r="I347" s="1"/>
      <c r="J347" s="1"/>
      <c r="K347" s="93"/>
      <c r="AM347" s="46"/>
    </row>
    <row r="348" spans="1:63" x14ac:dyDescent="0.25">
      <c r="A348" s="4"/>
      <c r="B348" s="4"/>
      <c r="C348" s="214"/>
      <c r="D348" s="70"/>
      <c r="E348" s="70"/>
      <c r="F348" s="1"/>
      <c r="G348" s="70"/>
      <c r="H348" s="1"/>
      <c r="I348" s="1"/>
      <c r="J348" s="1"/>
      <c r="K348" s="93"/>
      <c r="AM348" s="46"/>
    </row>
    <row r="349" spans="1:63" x14ac:dyDescent="0.25">
      <c r="A349" s="1"/>
      <c r="B349" s="1"/>
      <c r="C349" s="215"/>
      <c r="D349" s="70"/>
      <c r="E349" s="70"/>
      <c r="F349" s="1"/>
      <c r="G349" s="70"/>
      <c r="H349" s="1"/>
      <c r="I349" s="1"/>
      <c r="J349" s="1"/>
      <c r="K349" s="93"/>
      <c r="AM349" s="46"/>
    </row>
    <row r="350" spans="1:63" x14ac:dyDescent="0.25">
      <c r="A350" s="2"/>
      <c r="B350" s="2"/>
      <c r="C350" s="216"/>
      <c r="D350" s="70"/>
      <c r="E350" s="70"/>
      <c r="F350" s="1"/>
      <c r="G350" s="70"/>
      <c r="H350" s="1"/>
      <c r="I350" s="1"/>
      <c r="J350" s="1"/>
      <c r="K350" s="93"/>
      <c r="AM350" s="46"/>
    </row>
    <row r="351" spans="1:63" x14ac:dyDescent="0.25">
      <c r="D351" s="70"/>
      <c r="E351" s="70"/>
      <c r="F351" s="1"/>
      <c r="G351" s="70"/>
      <c r="H351" s="1"/>
      <c r="I351" s="1"/>
      <c r="J351" s="1"/>
      <c r="K351" s="93"/>
      <c r="AM351" s="46"/>
    </row>
    <row r="352" spans="1:63" x14ac:dyDescent="0.25">
      <c r="D352" s="70"/>
      <c r="E352" s="70"/>
      <c r="F352" s="1"/>
      <c r="G352" s="70"/>
      <c r="H352" s="1"/>
      <c r="I352" s="1"/>
      <c r="J352" s="1"/>
      <c r="K352" s="93"/>
      <c r="AM352" s="46"/>
    </row>
    <row r="353" spans="4:75" x14ac:dyDescent="0.25">
      <c r="D353" s="70"/>
      <c r="E353" s="70"/>
      <c r="F353" s="1"/>
      <c r="G353" s="70"/>
      <c r="H353" s="1"/>
      <c r="I353" s="1"/>
      <c r="J353" s="1"/>
      <c r="K353" s="93"/>
      <c r="AM353" s="46"/>
    </row>
    <row r="354" spans="4:75" x14ac:dyDescent="0.25">
      <c r="D354" s="70"/>
      <c r="E354" s="70"/>
      <c r="F354" s="1"/>
      <c r="G354" s="70"/>
      <c r="H354" s="1"/>
      <c r="I354" s="1"/>
      <c r="J354" s="1"/>
      <c r="K354" s="93"/>
      <c r="AM354" s="46"/>
    </row>
    <row r="355" spans="4:75" x14ac:dyDescent="0.25">
      <c r="D355" s="70"/>
      <c r="E355" s="70"/>
      <c r="F355" s="1"/>
      <c r="G355" s="70"/>
      <c r="H355" s="1"/>
      <c r="I355" s="1"/>
      <c r="J355" s="1"/>
      <c r="K355" s="93"/>
      <c r="AM355" s="46"/>
    </row>
    <row r="356" spans="4:75" x14ac:dyDescent="0.25">
      <c r="D356" s="70"/>
      <c r="E356" s="70"/>
      <c r="F356" s="1"/>
      <c r="G356" s="70"/>
      <c r="H356" s="1"/>
      <c r="I356" s="1"/>
      <c r="J356" s="1"/>
      <c r="K356" s="93"/>
      <c r="AM356" s="46"/>
      <c r="BL356" s="259"/>
      <c r="BW356" s="174"/>
    </row>
    <row r="357" spans="4:75" x14ac:dyDescent="0.25">
      <c r="AM357" s="46"/>
      <c r="BL357" s="259"/>
      <c r="BW357" s="174"/>
    </row>
    <row r="358" spans="4:75" x14ac:dyDescent="0.25">
      <c r="AM358" s="46"/>
    </row>
    <row r="359" spans="4:75" x14ac:dyDescent="0.25">
      <c r="AM359" s="46"/>
    </row>
    <row r="360" spans="4:75" x14ac:dyDescent="0.25">
      <c r="AM360" s="46"/>
    </row>
    <row r="361" spans="4:75" x14ac:dyDescent="0.25">
      <c r="AM361" s="46"/>
    </row>
    <row r="362" spans="4:75" x14ac:dyDescent="0.25">
      <c r="AM362" s="46"/>
    </row>
    <row r="363" spans="4:75" x14ac:dyDescent="0.25">
      <c r="AM363" s="46"/>
    </row>
    <row r="364" spans="4:75" x14ac:dyDescent="0.25">
      <c r="AM364" s="46"/>
    </row>
    <row r="365" spans="4:75" x14ac:dyDescent="0.25">
      <c r="AM365" s="46"/>
    </row>
    <row r="366" spans="4:75" x14ac:dyDescent="0.25">
      <c r="AM366" s="46"/>
    </row>
    <row r="367" spans="4:75" x14ac:dyDescent="0.25">
      <c r="AM367" s="46"/>
    </row>
    <row r="368" spans="4:75" x14ac:dyDescent="0.25">
      <c r="AM368" s="46"/>
    </row>
    <row r="369" spans="1:75" x14ac:dyDescent="0.25">
      <c r="AM369" s="46"/>
    </row>
    <row r="370" spans="1:75" x14ac:dyDescent="0.25">
      <c r="AM370" s="46"/>
    </row>
    <row r="371" spans="1:75" x14ac:dyDescent="0.25">
      <c r="AM371" s="46"/>
    </row>
    <row r="372" spans="1:75" x14ac:dyDescent="0.25">
      <c r="AM372" s="46"/>
    </row>
    <row r="373" spans="1:75" x14ac:dyDescent="0.25">
      <c r="AM373" s="46"/>
    </row>
    <row r="374" spans="1:75" x14ac:dyDescent="0.25">
      <c r="AM374" s="46"/>
      <c r="BL374" s="259"/>
      <c r="BW374" s="174"/>
    </row>
    <row r="375" spans="1:75" x14ac:dyDescent="0.25">
      <c r="A375" s="1"/>
      <c r="B375" s="1"/>
      <c r="C375" s="215"/>
      <c r="D375" s="70"/>
      <c r="E375" s="70"/>
      <c r="F375" s="1"/>
      <c r="G375" s="70"/>
      <c r="H375" s="1"/>
      <c r="I375" s="1"/>
      <c r="J375" s="1"/>
      <c r="K375" s="93"/>
      <c r="AM375" s="46"/>
      <c r="BL375" s="259"/>
      <c r="BW375" s="174"/>
    </row>
    <row r="376" spans="1:75" x14ac:dyDescent="0.25">
      <c r="A376" s="1"/>
      <c r="B376" s="1"/>
      <c r="C376" s="215"/>
      <c r="D376" s="70"/>
      <c r="E376" s="70"/>
      <c r="F376" s="1"/>
      <c r="G376" s="70"/>
      <c r="H376" s="1"/>
      <c r="I376" s="1"/>
      <c r="J376" s="1"/>
      <c r="K376" s="93"/>
      <c r="AM376" s="46"/>
      <c r="BK376" s="9"/>
    </row>
    <row r="377" spans="1:75" x14ac:dyDescent="0.25">
      <c r="A377" s="1"/>
      <c r="B377" s="1"/>
      <c r="C377" s="215"/>
      <c r="D377" s="70"/>
      <c r="E377" s="70"/>
      <c r="F377" s="1"/>
      <c r="G377" s="70"/>
      <c r="H377" s="1"/>
      <c r="I377" s="1"/>
      <c r="J377" s="1"/>
      <c r="K377" s="93"/>
      <c r="AM377" s="46"/>
    </row>
    <row r="378" spans="1:75" x14ac:dyDescent="0.25">
      <c r="D378" s="70"/>
      <c r="E378" s="70"/>
      <c r="F378" s="1"/>
      <c r="G378" s="70"/>
      <c r="H378" s="1"/>
      <c r="I378" s="1"/>
      <c r="J378" s="1"/>
      <c r="K378" s="93"/>
      <c r="AM378" s="46"/>
    </row>
    <row r="379" spans="1:75" x14ac:dyDescent="0.25">
      <c r="D379" s="70"/>
      <c r="E379" s="70"/>
      <c r="F379" s="1"/>
      <c r="G379" s="70"/>
      <c r="H379" s="1"/>
      <c r="I379" s="1"/>
      <c r="J379" s="1"/>
      <c r="K379" s="93"/>
      <c r="AM379" s="46"/>
    </row>
    <row r="380" spans="1:75" x14ac:dyDescent="0.25">
      <c r="D380" s="70"/>
      <c r="E380" s="70"/>
      <c r="F380" s="1"/>
      <c r="G380" s="70"/>
      <c r="H380" s="1"/>
      <c r="I380" s="1"/>
      <c r="J380" s="1"/>
      <c r="K380" s="93"/>
      <c r="AM380" s="46"/>
    </row>
    <row r="381" spans="1:75" x14ac:dyDescent="0.25">
      <c r="D381" s="70"/>
      <c r="E381" s="70"/>
      <c r="F381" s="1"/>
      <c r="G381" s="70"/>
      <c r="H381" s="1"/>
      <c r="I381" s="1"/>
      <c r="J381" s="1"/>
      <c r="K381" s="93"/>
      <c r="AM381" s="46"/>
    </row>
    <row r="382" spans="1:75" x14ac:dyDescent="0.25">
      <c r="D382" s="70"/>
      <c r="E382" s="70"/>
      <c r="F382" s="1"/>
      <c r="G382" s="70"/>
      <c r="H382" s="1"/>
      <c r="I382" s="1"/>
      <c r="J382" s="1"/>
      <c r="K382" s="93"/>
      <c r="AM382" s="46"/>
    </row>
    <row r="383" spans="1:75" x14ac:dyDescent="0.25">
      <c r="D383" s="70"/>
      <c r="E383" s="70"/>
      <c r="F383" s="1"/>
      <c r="G383" s="70"/>
      <c r="H383" s="1"/>
      <c r="I383" s="1"/>
      <c r="J383" s="1"/>
      <c r="K383" s="93"/>
      <c r="AM383" s="46"/>
    </row>
    <row r="384" spans="1:75" x14ac:dyDescent="0.25">
      <c r="D384" s="70"/>
      <c r="E384" s="70"/>
      <c r="F384" s="1"/>
      <c r="G384" s="70"/>
      <c r="H384" s="1"/>
      <c r="I384" s="1"/>
      <c r="J384" s="1"/>
      <c r="K384" s="93"/>
      <c r="AM384" s="46"/>
    </row>
    <row r="385" spans="1:75" x14ac:dyDescent="0.25">
      <c r="D385" s="70"/>
      <c r="E385" s="70"/>
      <c r="F385" s="1"/>
      <c r="G385" s="70"/>
      <c r="H385" s="1"/>
      <c r="I385" s="1"/>
      <c r="J385" s="1"/>
      <c r="K385" s="93"/>
      <c r="AM385" s="46"/>
    </row>
    <row r="386" spans="1:75" x14ac:dyDescent="0.25">
      <c r="D386" s="70"/>
      <c r="E386" s="70"/>
      <c r="F386" s="1"/>
      <c r="G386" s="70"/>
      <c r="H386" s="1"/>
      <c r="I386" s="1"/>
      <c r="J386" s="1"/>
      <c r="K386" s="93"/>
      <c r="AM386" s="46"/>
    </row>
    <row r="387" spans="1:75" x14ac:dyDescent="0.25">
      <c r="D387" s="70"/>
      <c r="E387" s="70"/>
      <c r="F387" s="1"/>
      <c r="G387" s="70"/>
      <c r="H387" s="1"/>
      <c r="I387" s="1"/>
      <c r="J387" s="1"/>
      <c r="K387" s="93"/>
      <c r="AM387" s="46"/>
    </row>
    <row r="388" spans="1:75" x14ac:dyDescent="0.25">
      <c r="D388" s="70"/>
      <c r="E388" s="70"/>
      <c r="F388" s="1"/>
      <c r="G388" s="70"/>
      <c r="H388" s="1"/>
      <c r="I388" s="1"/>
      <c r="J388" s="1"/>
      <c r="K388" s="93"/>
      <c r="AM388" s="46"/>
    </row>
    <row r="389" spans="1:75" x14ac:dyDescent="0.25">
      <c r="D389" s="70"/>
      <c r="E389" s="70"/>
      <c r="F389" s="1"/>
      <c r="G389" s="70"/>
      <c r="H389" s="1"/>
      <c r="I389" s="1"/>
      <c r="J389" s="1"/>
      <c r="K389" s="93"/>
      <c r="AM389" s="46"/>
    </row>
    <row r="390" spans="1:75" x14ac:dyDescent="0.25">
      <c r="D390" s="70"/>
      <c r="E390" s="70"/>
      <c r="F390" s="1"/>
      <c r="G390" s="70"/>
      <c r="H390" s="1"/>
      <c r="I390" s="1"/>
      <c r="J390" s="1"/>
      <c r="K390" s="93"/>
      <c r="AM390" s="46"/>
    </row>
    <row r="391" spans="1:75" x14ac:dyDescent="0.25">
      <c r="D391" s="70"/>
      <c r="E391" s="70"/>
      <c r="F391" s="1"/>
      <c r="G391" s="70"/>
      <c r="H391" s="1"/>
      <c r="I391" s="1"/>
      <c r="J391" s="1"/>
      <c r="K391" s="93"/>
      <c r="AM391" s="46"/>
    </row>
    <row r="392" spans="1:75" ht="13.65" customHeight="1" x14ac:dyDescent="0.25">
      <c r="D392" s="70"/>
      <c r="E392" s="70"/>
      <c r="F392" s="1"/>
      <c r="G392" s="70"/>
      <c r="H392" s="1"/>
      <c r="I392" s="1"/>
      <c r="J392" s="1"/>
      <c r="K392" s="93"/>
      <c r="AM392" s="46"/>
    </row>
    <row r="393" spans="1:75" x14ac:dyDescent="0.25">
      <c r="A393" s="1"/>
      <c r="B393" s="1"/>
      <c r="C393" s="215"/>
      <c r="D393" s="70"/>
      <c r="E393" s="70"/>
      <c r="F393" s="1"/>
      <c r="G393" s="70"/>
      <c r="H393" s="1"/>
      <c r="I393" s="1"/>
      <c r="J393" s="1"/>
      <c r="K393" s="93"/>
      <c r="AM393" s="46"/>
      <c r="BL393" s="259"/>
      <c r="BW393" s="174"/>
    </row>
    <row r="394" spans="1:75" x14ac:dyDescent="0.25">
      <c r="A394" s="1"/>
      <c r="B394" s="1"/>
      <c r="C394" s="215"/>
      <c r="D394" s="70"/>
      <c r="E394" s="70"/>
      <c r="F394" s="1"/>
      <c r="G394" s="70"/>
      <c r="H394" s="1"/>
      <c r="I394" s="1"/>
      <c r="J394" s="1"/>
      <c r="K394" s="93"/>
      <c r="AM394" s="46"/>
    </row>
    <row r="395" spans="1:75" x14ac:dyDescent="0.25">
      <c r="D395" s="70"/>
      <c r="E395" s="70"/>
      <c r="F395" s="1"/>
      <c r="G395" s="70"/>
      <c r="H395" s="1"/>
      <c r="I395" s="1"/>
      <c r="J395" s="1"/>
      <c r="K395" s="93"/>
      <c r="AM395" s="46"/>
    </row>
    <row r="396" spans="1:75" x14ac:dyDescent="0.25">
      <c r="D396" s="70"/>
      <c r="E396" s="70"/>
      <c r="F396" s="1"/>
      <c r="G396" s="70"/>
      <c r="H396" s="1"/>
      <c r="I396" s="1"/>
      <c r="J396" s="1"/>
      <c r="K396" s="93"/>
      <c r="AM396" s="46"/>
    </row>
    <row r="397" spans="1:75" x14ac:dyDescent="0.25">
      <c r="D397" s="70"/>
      <c r="E397" s="70"/>
      <c r="F397" s="1"/>
      <c r="G397" s="70"/>
      <c r="H397" s="1"/>
      <c r="I397" s="1"/>
      <c r="J397" s="1"/>
      <c r="K397" s="93"/>
      <c r="AM397" s="46"/>
    </row>
    <row r="398" spans="1:75" x14ac:dyDescent="0.25">
      <c r="D398" s="70"/>
      <c r="E398" s="70"/>
      <c r="F398" s="1"/>
      <c r="G398" s="70"/>
      <c r="H398" s="1"/>
      <c r="I398" s="1"/>
      <c r="J398" s="1"/>
      <c r="K398" s="93"/>
      <c r="AM398" s="46"/>
    </row>
    <row r="399" spans="1:75" x14ac:dyDescent="0.25">
      <c r="D399" s="70"/>
      <c r="E399" s="70"/>
      <c r="F399" s="1"/>
      <c r="G399" s="70"/>
      <c r="H399" s="1"/>
      <c r="I399" s="1"/>
      <c r="J399" s="1"/>
      <c r="K399" s="93"/>
      <c r="AM399" s="46"/>
    </row>
    <row r="400" spans="1:75" x14ac:dyDescent="0.25">
      <c r="D400" s="70"/>
      <c r="E400" s="70"/>
      <c r="F400" s="1"/>
      <c r="G400" s="70"/>
      <c r="H400" s="1"/>
      <c r="I400" s="1"/>
      <c r="J400" s="1"/>
      <c r="K400" s="93"/>
      <c r="AM400" s="46"/>
    </row>
    <row r="401" spans="1:75" x14ac:dyDescent="0.25">
      <c r="D401" s="70"/>
      <c r="E401" s="70"/>
      <c r="F401" s="1"/>
      <c r="G401" s="70"/>
      <c r="H401" s="1"/>
      <c r="I401" s="1"/>
      <c r="J401" s="1"/>
      <c r="K401" s="93"/>
      <c r="AM401" s="46"/>
    </row>
    <row r="402" spans="1:75" x14ac:dyDescent="0.25">
      <c r="D402" s="70"/>
      <c r="E402" s="70"/>
      <c r="F402" s="1"/>
      <c r="G402" s="70"/>
      <c r="H402" s="1"/>
      <c r="I402" s="1"/>
      <c r="J402" s="1"/>
      <c r="K402" s="93"/>
      <c r="AM402" s="46"/>
    </row>
    <row r="403" spans="1:75" x14ac:dyDescent="0.25">
      <c r="D403" s="70"/>
      <c r="E403" s="70"/>
      <c r="F403" s="1"/>
      <c r="G403" s="70"/>
      <c r="H403" s="1"/>
      <c r="I403" s="1"/>
      <c r="J403" s="1"/>
      <c r="K403" s="93"/>
      <c r="AM403" s="46"/>
    </row>
    <row r="404" spans="1:75" x14ac:dyDescent="0.25">
      <c r="D404" s="70"/>
      <c r="E404" s="70"/>
      <c r="F404" s="1"/>
      <c r="G404" s="70"/>
      <c r="H404" s="1"/>
      <c r="I404" s="1"/>
      <c r="J404" s="1"/>
      <c r="K404" s="93"/>
      <c r="AM404" s="46"/>
    </row>
    <row r="405" spans="1:75" x14ac:dyDescent="0.25">
      <c r="D405" s="70"/>
      <c r="E405" s="70"/>
      <c r="F405" s="1"/>
      <c r="G405" s="70"/>
      <c r="H405" s="1"/>
      <c r="I405" s="1"/>
      <c r="J405" s="1"/>
      <c r="K405" s="93"/>
      <c r="AM405" s="46"/>
    </row>
    <row r="406" spans="1:75" x14ac:dyDescent="0.25">
      <c r="D406" s="70"/>
      <c r="E406" s="70"/>
      <c r="F406" s="1"/>
      <c r="G406" s="70"/>
      <c r="H406" s="1"/>
      <c r="I406" s="1"/>
      <c r="J406" s="1"/>
      <c r="K406" s="93"/>
      <c r="AM406" s="46"/>
    </row>
    <row r="407" spans="1:75" x14ac:dyDescent="0.25">
      <c r="D407" s="70"/>
      <c r="E407" s="70"/>
      <c r="F407" s="1"/>
      <c r="G407" s="70"/>
      <c r="H407" s="1"/>
      <c r="I407" s="1"/>
      <c r="J407" s="1"/>
      <c r="K407" s="93"/>
      <c r="AM407" s="46"/>
    </row>
    <row r="408" spans="1:75" x14ac:dyDescent="0.25">
      <c r="D408" s="70"/>
      <c r="E408" s="70"/>
      <c r="F408" s="1"/>
      <c r="G408" s="70"/>
      <c r="H408" s="1"/>
      <c r="I408" s="1"/>
      <c r="J408" s="1"/>
      <c r="K408" s="93"/>
      <c r="AM408" s="46"/>
    </row>
    <row r="409" spans="1:75" x14ac:dyDescent="0.25">
      <c r="D409" s="70"/>
      <c r="E409" s="70"/>
      <c r="F409" s="1"/>
      <c r="G409" s="70"/>
      <c r="H409" s="1"/>
      <c r="I409" s="1"/>
      <c r="J409" s="1"/>
      <c r="K409" s="93"/>
      <c r="AM409" s="46"/>
    </row>
    <row r="410" spans="1:75" x14ac:dyDescent="0.25">
      <c r="D410" s="70"/>
      <c r="E410" s="70"/>
      <c r="F410" s="1"/>
      <c r="G410" s="70"/>
      <c r="H410" s="1"/>
      <c r="I410" s="1"/>
      <c r="J410" s="1"/>
      <c r="K410" s="93"/>
      <c r="AM410" s="46"/>
      <c r="BL410" s="259"/>
      <c r="BW410" s="174"/>
    </row>
    <row r="411" spans="1:75" x14ac:dyDescent="0.25">
      <c r="A411" s="1"/>
      <c r="B411" s="1"/>
      <c r="C411" s="215"/>
      <c r="D411" s="70"/>
      <c r="E411" s="70"/>
      <c r="F411" s="1"/>
      <c r="G411" s="70"/>
      <c r="H411" s="1"/>
      <c r="I411" s="1"/>
      <c r="J411" s="1"/>
      <c r="K411" s="93"/>
      <c r="AM411" s="46"/>
      <c r="BL411" s="259"/>
      <c r="BW411" s="174"/>
    </row>
    <row r="412" spans="1:75" x14ac:dyDescent="0.25">
      <c r="A412" s="1"/>
      <c r="B412" s="1"/>
      <c r="C412" s="215"/>
      <c r="D412" s="70"/>
      <c r="E412" s="70"/>
      <c r="F412" s="1"/>
      <c r="G412" s="70"/>
      <c r="H412" s="1"/>
      <c r="I412" s="1"/>
      <c r="J412" s="1"/>
      <c r="K412" s="93"/>
      <c r="AM412" s="46"/>
    </row>
    <row r="413" spans="1:75" x14ac:dyDescent="0.25">
      <c r="A413" s="1"/>
      <c r="B413" s="1"/>
      <c r="C413" s="215"/>
      <c r="D413" s="70"/>
      <c r="E413" s="70"/>
      <c r="F413" s="1"/>
      <c r="G413" s="70"/>
      <c r="H413" s="1"/>
      <c r="I413" s="1"/>
      <c r="J413" s="1"/>
      <c r="K413" s="93"/>
      <c r="AM413" s="46"/>
    </row>
    <row r="414" spans="1:75" x14ac:dyDescent="0.25">
      <c r="A414" s="1"/>
      <c r="B414" s="1"/>
      <c r="C414" s="215"/>
      <c r="D414" s="70"/>
      <c r="E414" s="70"/>
      <c r="F414" s="1"/>
      <c r="G414" s="70"/>
      <c r="H414" s="1"/>
      <c r="I414" s="1"/>
      <c r="J414" s="1"/>
      <c r="K414" s="93"/>
      <c r="AM414" s="46"/>
      <c r="BK414" s="9"/>
    </row>
    <row r="415" spans="1:75" x14ac:dyDescent="0.25">
      <c r="D415" s="70"/>
      <c r="E415" s="70"/>
      <c r="F415" s="1"/>
      <c r="G415" s="70"/>
      <c r="H415" s="1"/>
      <c r="I415" s="1"/>
      <c r="J415" s="1"/>
      <c r="K415" s="93"/>
      <c r="AM415" s="46"/>
    </row>
    <row r="416" spans="1:75" x14ac:dyDescent="0.25">
      <c r="D416" s="70"/>
      <c r="E416" s="70"/>
      <c r="F416" s="1"/>
      <c r="G416" s="70"/>
      <c r="H416" s="1"/>
      <c r="I416" s="1"/>
      <c r="J416" s="1"/>
      <c r="K416" s="93"/>
      <c r="AM416" s="46"/>
    </row>
    <row r="417" spans="4:39" x14ac:dyDescent="0.25">
      <c r="D417" s="70"/>
      <c r="E417" s="70"/>
      <c r="F417" s="1"/>
      <c r="G417" s="70"/>
      <c r="H417" s="1"/>
      <c r="I417" s="1"/>
      <c r="J417" s="1"/>
      <c r="K417" s="93"/>
      <c r="AM417" s="46"/>
    </row>
    <row r="418" spans="4:39" x14ac:dyDescent="0.25">
      <c r="D418" s="70"/>
      <c r="E418" s="70"/>
      <c r="F418" s="1"/>
      <c r="G418" s="70"/>
      <c r="H418" s="1"/>
      <c r="I418" s="1"/>
      <c r="J418" s="1"/>
      <c r="K418" s="93"/>
      <c r="AM418" s="46"/>
    </row>
    <row r="419" spans="4:39" x14ac:dyDescent="0.25">
      <c r="D419" s="70"/>
      <c r="E419" s="70"/>
      <c r="F419" s="1"/>
      <c r="G419" s="70"/>
      <c r="H419" s="1"/>
      <c r="I419" s="1"/>
      <c r="J419" s="1"/>
      <c r="K419" s="93"/>
    </row>
    <row r="420" spans="4:39" x14ac:dyDescent="0.25">
      <c r="D420" s="70"/>
      <c r="E420" s="70"/>
      <c r="F420" s="1"/>
      <c r="G420" s="70"/>
      <c r="H420" s="1"/>
      <c r="I420" s="1"/>
      <c r="J420" s="1"/>
      <c r="K420" s="93"/>
    </row>
    <row r="421" spans="4:39" x14ac:dyDescent="0.25">
      <c r="D421" s="70"/>
      <c r="E421" s="70"/>
      <c r="F421" s="1"/>
      <c r="G421" s="70"/>
      <c r="H421" s="1"/>
      <c r="I421" s="1"/>
      <c r="J421" s="1"/>
      <c r="K421" s="93"/>
    </row>
    <row r="422" spans="4:39" x14ac:dyDescent="0.25">
      <c r="D422" s="70"/>
      <c r="E422" s="70"/>
      <c r="F422" s="1"/>
      <c r="G422" s="70"/>
      <c r="H422" s="1"/>
      <c r="I422" s="1"/>
      <c r="J422" s="1"/>
      <c r="K422" s="93"/>
    </row>
    <row r="423" spans="4:39" x14ac:dyDescent="0.25">
      <c r="D423" s="70"/>
      <c r="E423" s="70"/>
      <c r="F423" s="1"/>
      <c r="G423" s="70"/>
      <c r="H423" s="1"/>
      <c r="I423" s="1"/>
      <c r="J423" s="1"/>
      <c r="K423" s="93"/>
    </row>
    <row r="424" spans="4:39" x14ac:dyDescent="0.25">
      <c r="D424" s="70"/>
      <c r="E424" s="70"/>
      <c r="F424" s="1"/>
      <c r="G424" s="70"/>
      <c r="H424" s="1"/>
      <c r="I424" s="1"/>
      <c r="J424" s="1"/>
      <c r="K424" s="93"/>
    </row>
    <row r="425" spans="4:39" x14ac:dyDescent="0.25">
      <c r="D425" s="70"/>
      <c r="E425" s="70"/>
      <c r="F425" s="1"/>
      <c r="G425" s="70"/>
      <c r="H425" s="1"/>
      <c r="I425" s="1"/>
      <c r="J425" s="1"/>
      <c r="K425" s="93"/>
    </row>
    <row r="426" spans="4:39" x14ac:dyDescent="0.25">
      <c r="D426" s="70"/>
      <c r="E426" s="70"/>
      <c r="F426" s="1"/>
      <c r="G426" s="70"/>
      <c r="H426" s="1"/>
      <c r="I426" s="1"/>
      <c r="J426" s="1"/>
      <c r="K426" s="93"/>
    </row>
    <row r="427" spans="4:39" x14ac:dyDescent="0.25">
      <c r="D427" s="70"/>
      <c r="E427" s="70"/>
      <c r="F427" s="1"/>
      <c r="G427" s="70"/>
      <c r="H427" s="1"/>
      <c r="I427" s="1"/>
      <c r="J427" s="1"/>
      <c r="K427" s="93"/>
    </row>
    <row r="428" spans="4:39" x14ac:dyDescent="0.25">
      <c r="D428" s="70"/>
      <c r="E428" s="70"/>
      <c r="F428" s="1"/>
      <c r="G428" s="70"/>
      <c r="H428" s="1"/>
      <c r="I428" s="1"/>
      <c r="J428" s="1"/>
      <c r="K428" s="93"/>
    </row>
  </sheetData>
  <autoFilter ref="A2:CS182" xr:uid="{00000000-0009-0000-0000-000000000000}"/>
  <conditionalFormatting sqref="BP2:BP182">
    <cfRule type="cellIs" dxfId="2" priority="2" operator="equal">
      <formula>0</formula>
    </cfRule>
  </conditionalFormatting>
  <conditionalFormatting sqref="BP3:BP182">
    <cfRule type="cellIs" dxfId="1" priority="3" operator="equal">
      <formula>0</formula>
    </cfRule>
  </conditionalFormatting>
  <conditionalFormatting sqref="BQ2:BQ182">
    <cfRule type="cellIs" dxfId="0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6"/>
  <sheetViews>
    <sheetView zoomScale="80" zoomScaleNormal="80" workbookViewId="0">
      <selection activeCell="C35" sqref="C35:D35"/>
    </sheetView>
  </sheetViews>
  <sheetFormatPr defaultRowHeight="14.4" x14ac:dyDescent="0.3"/>
  <cols>
    <col min="2" max="2" width="34.33203125" bestFit="1" customWidth="1"/>
    <col min="3" max="3" width="14" customWidth="1"/>
  </cols>
  <sheetData>
    <row r="2" spans="2:3" ht="39.15" customHeight="1" x14ac:dyDescent="0.3">
      <c r="B2" s="54" t="s">
        <v>0</v>
      </c>
      <c r="C2" s="55" t="s">
        <v>127</v>
      </c>
    </row>
    <row r="3" spans="2:3" x14ac:dyDescent="0.3">
      <c r="B3" s="56" t="s">
        <v>128</v>
      </c>
      <c r="C3" s="57" t="s">
        <v>33</v>
      </c>
    </row>
    <row r="4" spans="2:3" x14ac:dyDescent="0.3">
      <c r="B4" s="56" t="s">
        <v>129</v>
      </c>
      <c r="C4" s="57" t="s">
        <v>34</v>
      </c>
    </row>
    <row r="5" spans="2:3" x14ac:dyDescent="0.3">
      <c r="B5" s="58" t="s">
        <v>130</v>
      </c>
      <c r="C5" s="59" t="s">
        <v>35</v>
      </c>
    </row>
    <row r="6" spans="2:3" x14ac:dyDescent="0.3">
      <c r="B6" s="56" t="s">
        <v>24</v>
      </c>
      <c r="C6" s="57" t="s">
        <v>36</v>
      </c>
    </row>
    <row r="7" spans="2:3" x14ac:dyDescent="0.3">
      <c r="B7" s="60" t="s">
        <v>131</v>
      </c>
      <c r="C7" s="32" t="s">
        <v>47</v>
      </c>
    </row>
    <row r="8" spans="2:3" x14ac:dyDescent="0.3">
      <c r="B8" s="58" t="s">
        <v>82</v>
      </c>
      <c r="C8" s="59" t="s">
        <v>132</v>
      </c>
    </row>
    <row r="9" spans="2:3" x14ac:dyDescent="0.3">
      <c r="B9" s="56" t="s">
        <v>133</v>
      </c>
      <c r="C9" s="57" t="s">
        <v>48</v>
      </c>
    </row>
    <row r="10" spans="2:3" x14ac:dyDescent="0.3">
      <c r="B10" s="56" t="s">
        <v>65</v>
      </c>
      <c r="C10" s="57" t="s">
        <v>63</v>
      </c>
    </row>
    <row r="11" spans="2:3" x14ac:dyDescent="0.3">
      <c r="B11" s="56" t="s">
        <v>66</v>
      </c>
      <c r="C11" s="57" t="s">
        <v>64</v>
      </c>
    </row>
    <row r="12" spans="2:3" x14ac:dyDescent="0.3">
      <c r="B12" s="56" t="s">
        <v>134</v>
      </c>
      <c r="C12" s="57" t="s">
        <v>86</v>
      </c>
    </row>
    <row r="13" spans="2:3" x14ac:dyDescent="0.3">
      <c r="B13" s="56" t="s">
        <v>135</v>
      </c>
      <c r="C13" s="57" t="s">
        <v>50</v>
      </c>
    </row>
    <row r="14" spans="2:3" x14ac:dyDescent="0.3">
      <c r="B14" s="56" t="s">
        <v>2</v>
      </c>
      <c r="C14" s="57" t="s">
        <v>51</v>
      </c>
    </row>
    <row r="15" spans="2:3" x14ac:dyDescent="0.3">
      <c r="B15" s="56" t="s">
        <v>81</v>
      </c>
      <c r="C15" s="57" t="s">
        <v>52</v>
      </c>
    </row>
    <row r="16" spans="2:3" x14ac:dyDescent="0.3">
      <c r="B16" s="56" t="s">
        <v>136</v>
      </c>
      <c r="C16" s="57" t="s">
        <v>54</v>
      </c>
    </row>
    <row r="17" spans="2:3" x14ac:dyDescent="0.3">
      <c r="B17" s="56" t="s">
        <v>137</v>
      </c>
      <c r="C17" s="57" t="s">
        <v>55</v>
      </c>
    </row>
    <row r="18" spans="2:3" x14ac:dyDescent="0.3">
      <c r="B18" s="56" t="s">
        <v>138</v>
      </c>
      <c r="C18" s="57" t="s">
        <v>56</v>
      </c>
    </row>
    <row r="19" spans="2:3" x14ac:dyDescent="0.3">
      <c r="B19" s="56" t="s">
        <v>139</v>
      </c>
      <c r="C19" s="57" t="s">
        <v>57</v>
      </c>
    </row>
    <row r="20" spans="2:3" x14ac:dyDescent="0.3">
      <c r="B20" s="56" t="s">
        <v>49</v>
      </c>
      <c r="C20" s="57" t="s">
        <v>58</v>
      </c>
    </row>
    <row r="21" spans="2:3" x14ac:dyDescent="0.3">
      <c r="B21" s="56" t="s">
        <v>67</v>
      </c>
      <c r="C21" s="57" t="s">
        <v>59</v>
      </c>
    </row>
    <row r="22" spans="2:3" x14ac:dyDescent="0.3">
      <c r="B22" s="61" t="s">
        <v>140</v>
      </c>
      <c r="C22" s="62" t="s">
        <v>60</v>
      </c>
    </row>
    <row r="23" spans="2:3" x14ac:dyDescent="0.3">
      <c r="B23" s="56" t="s">
        <v>141</v>
      </c>
      <c r="C23" s="57" t="s">
        <v>61</v>
      </c>
    </row>
    <row r="24" spans="2:3" x14ac:dyDescent="0.3">
      <c r="B24" s="58" t="s">
        <v>142</v>
      </c>
      <c r="C24" s="59" t="s">
        <v>62</v>
      </c>
    </row>
    <row r="25" spans="2:3" x14ac:dyDescent="0.3">
      <c r="B25" s="56" t="s">
        <v>68</v>
      </c>
      <c r="C25" s="57" t="s">
        <v>46</v>
      </c>
    </row>
    <row r="26" spans="2:3" x14ac:dyDescent="0.3">
      <c r="B26" s="58" t="s">
        <v>143</v>
      </c>
      <c r="C26" s="5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Anagrafica codici</vt:lpstr>
      <vt:lpstr>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Vanti</dc:creator>
  <cp:lastModifiedBy>Vargu Kevin</cp:lastModifiedBy>
  <cp:lastPrinted>2023-04-14T13:34:51Z</cp:lastPrinted>
  <dcterms:created xsi:type="dcterms:W3CDTF">2016-04-14T09:49:42Z</dcterms:created>
  <dcterms:modified xsi:type="dcterms:W3CDTF">2025-07-29T15:34:03Z</dcterms:modified>
</cp:coreProperties>
</file>